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debok\Documents\GitHub\fixed_asset_manager\"/>
    </mc:Choice>
  </mc:AlternateContent>
  <bookViews>
    <workbookView xWindow="0" yWindow="0" windowWidth="19191" windowHeight="5571"/>
  </bookViews>
  <sheets>
    <sheet name="Assets" sheetId="1" r:id="rId1"/>
    <sheet name="Depreciation" sheetId="13" r:id="rId2"/>
    <sheet name="Profile" sheetId="6" r:id="rId3"/>
    <sheet name="Settings" sheetId="7" r:id="rId4"/>
    <sheet name="Reports" sheetId="8" r:id="rId5"/>
    <sheet name="Vendor_Info" sheetId="14" r:id="rId6"/>
    <sheet name="Maintenance" sheetId="12" r:id="rId7"/>
    <sheet name="Repair" sheetId="11" r:id="rId8"/>
    <sheet name="Owner" sheetId="9" r:id="rId9"/>
  </sheets>
  <calcPr calcId="171027"/>
</workbook>
</file>

<file path=xl/calcChain.xml><?xml version="1.0" encoding="utf-8"?>
<calcChain xmlns="http://schemas.openxmlformats.org/spreadsheetml/2006/main">
  <c r="Z9" i="1" l="1"/>
  <c r="Z5" i="1"/>
  <c r="Z6" i="1"/>
  <c r="Z8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" i="1"/>
</calcChain>
</file>

<file path=xl/sharedStrings.xml><?xml version="1.0" encoding="utf-8"?>
<sst xmlns="http://schemas.openxmlformats.org/spreadsheetml/2006/main" count="6321" uniqueCount="1647">
  <si>
    <t>Name</t>
  </si>
  <si>
    <t>Description</t>
  </si>
  <si>
    <t>Status</t>
  </si>
  <si>
    <t>Accounting Category</t>
  </si>
  <si>
    <t>Site</t>
  </si>
  <si>
    <t>Brand</t>
  </si>
  <si>
    <t>Model</t>
  </si>
  <si>
    <t>Serial #</t>
  </si>
  <si>
    <t>Descriptive Location</t>
  </si>
  <si>
    <t>Service Lifecycle</t>
  </si>
  <si>
    <t>Accessories</t>
  </si>
  <si>
    <t>Service Agreement</t>
  </si>
  <si>
    <t>Service Agreement Expiration</t>
  </si>
  <si>
    <t>Active</t>
  </si>
  <si>
    <t>Dept</t>
  </si>
  <si>
    <t>Vendor</t>
  </si>
  <si>
    <t>Filters</t>
  </si>
  <si>
    <t>Department</t>
  </si>
  <si>
    <t>Value Range</t>
  </si>
  <si>
    <t>Depreciation</t>
  </si>
  <si>
    <t>Asset_ID</t>
  </si>
  <si>
    <t>Date_Issued</t>
  </si>
  <si>
    <t>Issued_To</t>
  </si>
  <si>
    <t>Date_Returned</t>
  </si>
  <si>
    <t>Inactive_Date</t>
  </si>
  <si>
    <t>Meth/Life</t>
  </si>
  <si>
    <t>Annual_Dep</t>
  </si>
  <si>
    <t>Date_Acq</t>
  </si>
  <si>
    <t>Original_Val</t>
  </si>
  <si>
    <t>12/31/16_Dep</t>
  </si>
  <si>
    <t>Depreciable_Asset_Min</t>
  </si>
  <si>
    <t>Cur_Yr_Dep</t>
  </si>
  <si>
    <t>Original_GL</t>
  </si>
  <si>
    <t>Family</t>
  </si>
  <si>
    <t>-Under $1000</t>
  </si>
  <si>
    <t>Lenexa</t>
  </si>
  <si>
    <t>Large venue projector</t>
  </si>
  <si>
    <t>Eiki led projector</t>
  </si>
  <si>
    <t>Worship Arts</t>
  </si>
  <si>
    <t>15400 Equipment</t>
  </si>
  <si>
    <t>Eiki</t>
  </si>
  <si>
    <t>LC-HDT2000</t>
  </si>
  <si>
    <t>G11A1035</t>
  </si>
  <si>
    <t>donated</t>
  </si>
  <si>
    <t xml:space="preserve">Pedicraft day crib - donated </t>
  </si>
  <si>
    <t>Web Filter</t>
  </si>
  <si>
    <t>IT</t>
  </si>
  <si>
    <t>iBoss</t>
  </si>
  <si>
    <t>Enterprise 1750</t>
  </si>
  <si>
    <t>IT Room (Admin Area)</t>
  </si>
  <si>
    <t>Wireless Mic</t>
  </si>
  <si>
    <t>Speedway</t>
  </si>
  <si>
    <t>Sennheiser</t>
  </si>
  <si>
    <t>Ew500</t>
  </si>
  <si>
    <t>5 drawer file</t>
  </si>
  <si>
    <t>Operations</t>
  </si>
  <si>
    <t>15450 Furniture</t>
  </si>
  <si>
    <t>Paging System - RSC Communications</t>
  </si>
  <si>
    <t>Office Depot</t>
  </si>
  <si>
    <t>5 shelf library, hutch, double pedestal desk, credenza</t>
  </si>
  <si>
    <t>PDA</t>
  </si>
  <si>
    <t>Tape Duplication Area - 42x30 &amp; 72x24 work surface, 72" hutch, hanging file</t>
  </si>
  <si>
    <t>B &amp; J Food Service Equip</t>
  </si>
  <si>
    <t>True Fridge</t>
  </si>
  <si>
    <t>True Fridge - Kitchen</t>
  </si>
  <si>
    <t>Kitchen</t>
  </si>
  <si>
    <t>Galyans</t>
  </si>
  <si>
    <t>Foosball table - Extreme</t>
  </si>
  <si>
    <t>Wiedemann Church</t>
  </si>
  <si>
    <t>Baptism Tank</t>
  </si>
  <si>
    <t>Shawnee Mission Ford</t>
  </si>
  <si>
    <t>1999 Ford 15 passenger van</t>
  </si>
  <si>
    <t xml:space="preserve">1999 Ford 15 Passenger van </t>
  </si>
  <si>
    <t>Facilities</t>
  </si>
  <si>
    <t>15350 Vehicles</t>
  </si>
  <si>
    <t>Ford</t>
  </si>
  <si>
    <t>License Plate # QML657</t>
  </si>
  <si>
    <t>DDI Recliner Sofa</t>
  </si>
  <si>
    <t>Korg Triton Pro X Keyboard</t>
  </si>
  <si>
    <t>Mars Music</t>
  </si>
  <si>
    <t>Korg CX-3 Keyboard</t>
  </si>
  <si>
    <t>Kurzweil keyboard @ $2799.99 and SP88X keyboard @ $999.99</t>
  </si>
  <si>
    <t>2001 Neal Trailer</t>
  </si>
  <si>
    <t>Neal</t>
  </si>
  <si>
    <t>License Plate # 574ERZ</t>
  </si>
  <si>
    <t>Home Depot</t>
  </si>
  <si>
    <t>Generator</t>
  </si>
  <si>
    <t>Honda Generator</t>
  </si>
  <si>
    <t>Honda</t>
  </si>
  <si>
    <t>Lycos</t>
  </si>
  <si>
    <t>Primera Braco Signature Printer</t>
  </si>
  <si>
    <t>Quigley Music</t>
  </si>
  <si>
    <t>JBL EON 15-G2 2-way Bi-Amp 15 inch</t>
  </si>
  <si>
    <t>QSC PLX3402 PA Power Amp</t>
  </si>
  <si>
    <t>8500 Woodsonia Dr, Lenexa 33.98 acres</t>
  </si>
  <si>
    <t>15100 Land</t>
  </si>
  <si>
    <t>Microframe</t>
  </si>
  <si>
    <t>Nursery Pager System</t>
  </si>
  <si>
    <t>Focused Tech</t>
  </si>
  <si>
    <t>Da-lite Cosm. Projection Screen</t>
  </si>
  <si>
    <t>Samash.com</t>
  </si>
  <si>
    <t>Telex CD Duplicator</t>
  </si>
  <si>
    <t>Dell</t>
  </si>
  <si>
    <t>Dimenson 4600i</t>
  </si>
  <si>
    <t>Proaction Network</t>
  </si>
  <si>
    <t>Media DVD Duplicator</t>
  </si>
  <si>
    <t>Dimenson 3000</t>
  </si>
  <si>
    <t>Dell Notebook</t>
  </si>
  <si>
    <t>Check Out</t>
  </si>
  <si>
    <t>D530</t>
  </si>
  <si>
    <t>Portable</t>
  </si>
  <si>
    <t>SSD</t>
  </si>
  <si>
    <t>XPS/Dimenson 400/9150</t>
  </si>
  <si>
    <t>Full Compass</t>
  </si>
  <si>
    <t>2-way speakers bi-amped ($575.00 each)</t>
  </si>
  <si>
    <t>9" color monitor</t>
  </si>
  <si>
    <t>Subwoofer System</t>
  </si>
  <si>
    <t>Explorers Percussion</t>
  </si>
  <si>
    <t>Drum Set</t>
  </si>
  <si>
    <t>Village Auto</t>
  </si>
  <si>
    <t>8.5 x 24 cargo trailer - black</t>
  </si>
  <si>
    <t>XS, LLC</t>
  </si>
  <si>
    <t>Lighting package for Speedway</t>
  </si>
  <si>
    <t>Fry &amp; Associates</t>
  </si>
  <si>
    <t>Playground Equipment</t>
  </si>
  <si>
    <t>Croft Trailer Supply</t>
  </si>
  <si>
    <t xml:space="preserve">2005 white enclosed trailer 7 x 16 </t>
  </si>
  <si>
    <t>Interstate</t>
  </si>
  <si>
    <t>License plate #    575ERZ</t>
  </si>
  <si>
    <t>Signco</t>
  </si>
  <si>
    <t>3 retractable banner stands</t>
  </si>
  <si>
    <t>Clark Pro Media CPMQ 1691</t>
  </si>
  <si>
    <t>ETC Dimming System</t>
  </si>
  <si>
    <t>Clark Pro Media CPMQ1795</t>
  </si>
  <si>
    <t>600 watts, 4 Ohms power amplifier, 2 rack space</t>
  </si>
  <si>
    <t>Clark Pro Media CPMQ1788-03</t>
  </si>
  <si>
    <t>Audio solo for use with non-cobranet Audia products 4 x 12</t>
  </si>
  <si>
    <t>Clark Pro Media CPMQ1790</t>
  </si>
  <si>
    <t>Signal Processor/CD Player</t>
  </si>
  <si>
    <t>Architectural Metal Works</t>
  </si>
  <si>
    <t>Metal Sign by water feature</t>
  </si>
  <si>
    <t>Metal Sign by Water Feature</t>
  </si>
  <si>
    <t>15150 Buildings</t>
  </si>
  <si>
    <t>Seating Concepts</t>
  </si>
  <si>
    <t>Auditorium Seating - 500</t>
  </si>
  <si>
    <t>Auditorium Seating - 500 (larger worship center)</t>
  </si>
  <si>
    <t>Inspired Design</t>
  </si>
  <si>
    <t>Monument Cross</t>
  </si>
  <si>
    <t>Team Office Co.</t>
  </si>
  <si>
    <t>Teknion Aegis Lounge Seating Bench - 2</t>
  </si>
  <si>
    <t>Teknion</t>
  </si>
  <si>
    <t>Teknion Aegis Lounge Seating Chairs (2)</t>
  </si>
  <si>
    <t>Teknion Aegis Lounge Seating with Bolsters - 3</t>
  </si>
  <si>
    <t>Teknion Aegis Lounge Seating with Tablet Arm (2)</t>
  </si>
  <si>
    <t>Team Office</t>
  </si>
  <si>
    <t>Teknion One Open Office - Printer Station</t>
  </si>
  <si>
    <t>Teknion Open Office Area - 15 cubicles</t>
  </si>
  <si>
    <t>Teknion Private Offic Desks - L shape (3)</t>
  </si>
  <si>
    <t>Teknion Private Office Furniture (13)</t>
  </si>
  <si>
    <t>Teknion Storage Wall Dark Expresso Cabinets</t>
  </si>
  <si>
    <t>Teknion Volunteer Room Furniture</t>
  </si>
  <si>
    <t>Teknion Workroom Cabinets - CD Duplication</t>
  </si>
  <si>
    <t>AccuCut</t>
  </si>
  <si>
    <t>Die Cut machine and dies</t>
  </si>
  <si>
    <t>Die cut maching and dies</t>
  </si>
  <si>
    <t>Harvest Productions</t>
  </si>
  <si>
    <t>Eiki Projector</t>
  </si>
  <si>
    <t>Inactive</t>
  </si>
  <si>
    <t>sold through Equip bid June 2015</t>
  </si>
  <si>
    <t>Foley Group</t>
  </si>
  <si>
    <t>Outdoor Cross Lighting</t>
  </si>
  <si>
    <t>Outdoor Cross-lighting</t>
  </si>
  <si>
    <t>Wireless Mic &amp; bodypack, head mic, speaker bag</t>
  </si>
  <si>
    <t>KC Booth</t>
  </si>
  <si>
    <t>Custom Booth</t>
  </si>
  <si>
    <t>KC Door</t>
  </si>
  <si>
    <t>Muelbach Salvage - Doors - upstairs kitchen</t>
  </si>
  <si>
    <t>Nebraska Furniture Mart</t>
  </si>
  <si>
    <t>Leather sofa - green room</t>
  </si>
  <si>
    <t>Pastor's sofa</t>
  </si>
  <si>
    <t>Lloyds of Indiana</t>
  </si>
  <si>
    <t>Laminator BA-EZ27 - 27 inch roll</t>
  </si>
  <si>
    <t>Crate &amp; Barrel</t>
  </si>
  <si>
    <t>2 - sofas - Conference room</t>
  </si>
  <si>
    <t>2 - sofas - conference room</t>
  </si>
  <si>
    <t>4 chairs - conference room</t>
  </si>
  <si>
    <t>Santa Fe Signs &amp; Neon</t>
  </si>
  <si>
    <t>Neon Sign - Extreme</t>
  </si>
  <si>
    <t>Neon sign - Extreme</t>
  </si>
  <si>
    <t>Clark Pro Media CPMQ1857</t>
  </si>
  <si>
    <t>3-racks and power accessories</t>
  </si>
  <si>
    <t>Clark Pro Media CPMQ 1857</t>
  </si>
  <si>
    <t>3-wireless antenna and booster</t>
  </si>
  <si>
    <t>Cable Harness and Rack Gear</t>
  </si>
  <si>
    <t>FOH Console: Soundboard</t>
  </si>
  <si>
    <t>Speaker DSP</t>
  </si>
  <si>
    <t>Worship Center - Speakers &amp; Delays</t>
  </si>
  <si>
    <t>Landscape Forms</t>
  </si>
  <si>
    <t>72" backless bench</t>
  </si>
  <si>
    <t>PT's Coffee</t>
  </si>
  <si>
    <t>Blender - 2 @ $763.00</t>
  </si>
  <si>
    <t>Aviom Personal Mixer A-16II</t>
  </si>
  <si>
    <t>Aviom Studio Injector AN-16/I</t>
  </si>
  <si>
    <t>Athco</t>
  </si>
  <si>
    <t>Swings, volleyball and basketball equip</t>
  </si>
  <si>
    <t>Popcorn Machine</t>
  </si>
  <si>
    <t>CIO</t>
  </si>
  <si>
    <t>3016 Router</t>
  </si>
  <si>
    <t>Best Buy</t>
  </si>
  <si>
    <t>32" Samsung TV</t>
  </si>
  <si>
    <t>Samsung</t>
  </si>
  <si>
    <t>Sean Tuttle - EBay</t>
  </si>
  <si>
    <t>Abstact Metal Wall Art</t>
  </si>
  <si>
    <t>Rosebrand</t>
  </si>
  <si>
    <t>Muslin Drape</t>
  </si>
  <si>
    <t>Vista Systems</t>
  </si>
  <si>
    <t>Spyder Switcher for Worship Center Screen</t>
  </si>
  <si>
    <t>Room &amp; Board</t>
  </si>
  <si>
    <t xml:space="preserve">2 chairs - green room </t>
  </si>
  <si>
    <t>2 chairs - green room</t>
  </si>
  <si>
    <t>Autoscrubber Advance floor cleaning machine</t>
  </si>
  <si>
    <t>Excel</t>
  </si>
  <si>
    <t>Beverage Air Undercounter Refrigerator</t>
  </si>
  <si>
    <t>Cafe</t>
  </si>
  <si>
    <t>Beverage Air</t>
  </si>
  <si>
    <t>GE Refrigerator / Freezer</t>
  </si>
  <si>
    <t>GE Refrigerator / Freezer - Student Kitchen</t>
  </si>
  <si>
    <t>GE</t>
  </si>
  <si>
    <t>True Reach-In Refrigerator</t>
  </si>
  <si>
    <t>Viking Double Wall Oven</t>
  </si>
  <si>
    <t>Viking</t>
  </si>
  <si>
    <t>Viking Electric Range</t>
  </si>
  <si>
    <t>8500 Woodsonia Dr, Lenexa</t>
  </si>
  <si>
    <t>3 swivel rocker chairs</t>
  </si>
  <si>
    <t>3 swivel rocker chairs @ $699.00</t>
  </si>
  <si>
    <t>Creative Suite 2 Premium for Windows</t>
  </si>
  <si>
    <t>Kopman, Inc</t>
  </si>
  <si>
    <t>Champions Media Solutions</t>
  </si>
  <si>
    <t>Christie Digital Projector - 2 @ $13,995.00</t>
  </si>
  <si>
    <t>Angeles</t>
  </si>
  <si>
    <t>Bye Bye Buggy</t>
  </si>
  <si>
    <t>Mity Lite</t>
  </si>
  <si>
    <t>Carts for the Extreme</t>
  </si>
  <si>
    <t>Custom Chairs</t>
  </si>
  <si>
    <t>chairs for the Extreme</t>
  </si>
  <si>
    <t>chairs for the Rock</t>
  </si>
  <si>
    <t>Chairs for the Rock</t>
  </si>
  <si>
    <t>Game system</t>
  </si>
  <si>
    <t>Sam's Club</t>
  </si>
  <si>
    <t>Shelves for the Extreme</t>
  </si>
  <si>
    <t>tables for the Rock</t>
  </si>
  <si>
    <t>tables in the Extreme</t>
  </si>
  <si>
    <t>Lakeshore</t>
  </si>
  <si>
    <t>Tuff Stuff Chairs - 148 @ $38 each</t>
  </si>
  <si>
    <t>Tuff Stuff tables 48" - 6 @ $190 each</t>
  </si>
  <si>
    <t>Tuff Stuff tables 60" - 14 @ $200 each</t>
  </si>
  <si>
    <t>TV's for the Extreme</t>
  </si>
  <si>
    <t>Micro Center</t>
  </si>
  <si>
    <t>Adobe Web Bundle</t>
  </si>
  <si>
    <t>Custom Aquariums by Design</t>
  </si>
  <si>
    <t>Aquarium</t>
  </si>
  <si>
    <t>15200 Building Improvement</t>
  </si>
  <si>
    <t>Custom Aqariums by Design</t>
  </si>
  <si>
    <t>Aquarium chiller</t>
  </si>
  <si>
    <t>Teknion Workstations in the Worship receptionist area (2)</t>
  </si>
  <si>
    <t>Pedicraft</t>
  </si>
  <si>
    <t>Pedicraft - day crib (3x)</t>
  </si>
  <si>
    <t>Pedicraft - day crib</t>
  </si>
  <si>
    <t>OptiPlex GX28</t>
  </si>
  <si>
    <t>Kingdom Tapes</t>
  </si>
  <si>
    <t>Kingdom CD Duplicator</t>
  </si>
  <si>
    <t>Resources of KC</t>
  </si>
  <si>
    <t>Workstations / Desks (4 @ $1150) from OP office</t>
  </si>
  <si>
    <t>Workstations / Desks (4 @ $1150)</t>
  </si>
  <si>
    <t>Mission Electronics</t>
  </si>
  <si>
    <t>Standard Zoom Lens</t>
  </si>
  <si>
    <t>12000 ANSI XGA Projector</t>
  </si>
  <si>
    <t>Custom Snake</t>
  </si>
  <si>
    <t>ISS506 Switcher DI/HDSI</t>
  </si>
  <si>
    <t>NT59 Self Powered Speaker</t>
  </si>
  <si>
    <t xml:space="preserve">NTS22 Self Powered Sub </t>
  </si>
  <si>
    <t>Guitar Center</t>
  </si>
  <si>
    <t>Yamaha Synthesizer</t>
  </si>
  <si>
    <t>Tama Imperial 5 PC drum Kit</t>
  </si>
  <si>
    <t>Tana</t>
  </si>
  <si>
    <t>1 Tom - 008129</t>
  </si>
  <si>
    <t xml:space="preserve">Bass drum, hardware, snare, kick pedal, hi-hat stand, </t>
  </si>
  <si>
    <t>Yamaha</t>
  </si>
  <si>
    <t>MG8/2FX Mini Sound Board</t>
  </si>
  <si>
    <t>Rolling Riser</t>
  </si>
  <si>
    <t>8' x 2' x 28" drum platform</t>
  </si>
  <si>
    <t>8' x 5' x 28" Drum Platform</t>
  </si>
  <si>
    <t>HD Audio Recording Workstation</t>
  </si>
  <si>
    <t>EBE</t>
  </si>
  <si>
    <t>Bravo Pro Printer - DVD/CD printer</t>
  </si>
  <si>
    <t>B &amp; H Photo Video</t>
  </si>
  <si>
    <t>Spider pod with expans web (riser with web)</t>
  </si>
  <si>
    <t>Outdoor Signage</t>
  </si>
  <si>
    <t>Larry Gann</t>
  </si>
  <si>
    <t>Fender Rhodes Keyboard</t>
  </si>
  <si>
    <t>6 faux leather chairs, sofa, table, armless chair for Pastor's offices</t>
  </si>
  <si>
    <t>Amazon</t>
  </si>
  <si>
    <t>Portable Hot Tub - Baptistery</t>
  </si>
  <si>
    <t>Care</t>
  </si>
  <si>
    <t>Bush Industries</t>
  </si>
  <si>
    <t>2 Cherry Bookcases</t>
  </si>
  <si>
    <t>Apple</t>
  </si>
  <si>
    <t>Mac Mini - SW video computer</t>
  </si>
  <si>
    <t>LG Flat Panel</t>
  </si>
  <si>
    <t>Donated</t>
  </si>
  <si>
    <t>2002 Truck</t>
  </si>
  <si>
    <t xml:space="preserve">2002 Ford F150 Super Cab Short Bed 4D                  </t>
  </si>
  <si>
    <t>F150 Super Cab short bed 4D</t>
  </si>
  <si>
    <t>License plate # 820BVO</t>
  </si>
  <si>
    <t>Trailers Plus</t>
  </si>
  <si>
    <t>2010 white Trailer</t>
  </si>
  <si>
    <t xml:space="preserve">2010 white Trailer for Olathe campus                                 </t>
  </si>
  <si>
    <t>102 x 24 car carrier</t>
  </si>
  <si>
    <t>License plate #  655BVB</t>
  </si>
  <si>
    <t>Pedicraft day crib - donated</t>
  </si>
  <si>
    <t>Georgia Case Co</t>
  </si>
  <si>
    <t>ATA Case electric lift case</t>
  </si>
  <si>
    <t>Henne Distributing</t>
  </si>
  <si>
    <t>1998 Ford E-350 Cargo Van</t>
  </si>
  <si>
    <t xml:space="preserve">1998 Ford E-350 Cargo Van                                      </t>
  </si>
  <si>
    <t>E-350 Cargo Van</t>
  </si>
  <si>
    <t>License plate - 663BVC</t>
  </si>
  <si>
    <t>Musician's Friend</t>
  </si>
  <si>
    <t>TD-4 Electronic Drum set pads</t>
  </si>
  <si>
    <t>Sennheiser bodypack transmitter w/ME-3 cardiod h</t>
  </si>
  <si>
    <t>Sennheiser handheld wireless tansmitter w/receiver</t>
  </si>
  <si>
    <t>Sennheiser handheld wireless transmitter and receiver</t>
  </si>
  <si>
    <t>Sennheiser wireless in-ear monitor system</t>
  </si>
  <si>
    <t>Sennheiser bodypack transmitter</t>
  </si>
  <si>
    <t>Ice System</t>
  </si>
  <si>
    <t xml:space="preserve">iBoss Enterprise Web Filter </t>
  </si>
  <si>
    <t>Lowes</t>
  </si>
  <si>
    <t>Fridge - Extreme kitchen</t>
  </si>
  <si>
    <t>Fridge - Preschool kitchen</t>
  </si>
  <si>
    <t>Mercantila.com</t>
  </si>
  <si>
    <t xml:space="preserve">Portable Hot Tub - baptistery </t>
  </si>
  <si>
    <t>BH Photo Video</t>
  </si>
  <si>
    <t>Savage M311000 Quartz Light Kit</t>
  </si>
  <si>
    <t>Matrox MAMXO External HD and SD video output</t>
  </si>
  <si>
    <t>Sony DVCAM HDD</t>
  </si>
  <si>
    <t>Black Magic Decklink HD Extreme 3D</t>
  </si>
  <si>
    <t>Light Theatrics</t>
  </si>
  <si>
    <t>hazer to help with program lighting</t>
  </si>
  <si>
    <t>Studio Adapet w/SDI output</t>
  </si>
  <si>
    <t>Stark Raving Solutions</t>
  </si>
  <si>
    <t>Cartoni F126 Tripod</t>
  </si>
  <si>
    <t>Da-Lite Cinema Screen 65" x 116"</t>
  </si>
  <si>
    <t>Da-Lite Electol electric screen 146" x 260"</t>
  </si>
  <si>
    <t>Eiki AH-21401 Projector Lens</t>
  </si>
  <si>
    <t>Eiki LC-HDT2000 LCD Projector</t>
  </si>
  <si>
    <t>Canon XF305A Camera</t>
  </si>
  <si>
    <t>video projector XGA, 4000 Lumens - 2 @ $899.99</t>
  </si>
  <si>
    <t>Samsung 52" LCD HDTV</t>
  </si>
  <si>
    <t>Samsung refurbished 2.1 CH Home Sound Theater w/wireless subwoofer</t>
  </si>
  <si>
    <t>Sharp Aquos 60 inch class LCD 1080p 12hz HDTV</t>
  </si>
  <si>
    <t>Apple Store</t>
  </si>
  <si>
    <t>MBP 15.4 CTO</t>
  </si>
  <si>
    <t>Refrigerator - Upstairs kitchen</t>
  </si>
  <si>
    <t>Dishwasher</t>
  </si>
  <si>
    <t>Dishwasher - kitchen</t>
  </si>
  <si>
    <t>Maytag</t>
  </si>
  <si>
    <t>MDB7759SAS</t>
  </si>
  <si>
    <t>Husqvarna riding mower</t>
  </si>
  <si>
    <t>Husqvarna rigding mower</t>
  </si>
  <si>
    <t>Husqvarna</t>
  </si>
  <si>
    <t>26 HP V-Twin / 54 inch cut / Dual Hydrostatic</t>
  </si>
  <si>
    <t>2011 Block Party Trailer</t>
  </si>
  <si>
    <t xml:space="preserve">2011 white enclosed trailer 5 x 8        </t>
  </si>
  <si>
    <t>Homesteader</t>
  </si>
  <si>
    <t>License plate # 103EXS</t>
  </si>
  <si>
    <t>Elite Bounce LLC</t>
  </si>
  <si>
    <t>Inflatable Bounce House Moonwalk</t>
  </si>
  <si>
    <t>Ipad - 16 GB</t>
  </si>
  <si>
    <t>Electro - III-73-hp</t>
  </si>
  <si>
    <t>CCI Solutions</t>
  </si>
  <si>
    <t>Beige earset, omni, microdot</t>
  </si>
  <si>
    <t>Dell 21.5 inch wide S2230MX flat panel monitor</t>
  </si>
  <si>
    <t>Dell 21.5 inche wide S2230MX flat panel monitor</t>
  </si>
  <si>
    <t>Adroama</t>
  </si>
  <si>
    <t>Epson Powerlite 1735W MM projector refurbished</t>
  </si>
  <si>
    <t>Black magic design ATEM 2 m/e production switcher</t>
  </si>
  <si>
    <t>Black magic design smartview duo (2 @ $660.00)</t>
  </si>
  <si>
    <t>Blackmagic design compact videohub</t>
  </si>
  <si>
    <t>Panasonic TH-47LF30U</t>
  </si>
  <si>
    <t>Black Magic design GPI &amp; Tally interface for ATEM production swithers</t>
  </si>
  <si>
    <t>30" black circular tables - 4 @ $165.80</t>
  </si>
  <si>
    <t>cart to hold 4 - 30" black circular tables</t>
  </si>
  <si>
    <t>Black magic Atem 1 M/E Broadcast Panel</t>
  </si>
  <si>
    <t>Olathe Ford</t>
  </si>
  <si>
    <t>2012 Ford 11 passenger van</t>
  </si>
  <si>
    <t>E350 SD</t>
  </si>
  <si>
    <t>License Plate # 936ESU</t>
  </si>
  <si>
    <t>Groupon</t>
  </si>
  <si>
    <t>Dell Latitude E5430 - 2 @ $439.00</t>
  </si>
  <si>
    <t>Sidero side chair - 4 @ $218.00</t>
  </si>
  <si>
    <t>Service Call</t>
  </si>
  <si>
    <t>Expresso Machine</t>
  </si>
  <si>
    <t>Franke Evolution Expresso machine</t>
  </si>
  <si>
    <t>Franke Evolution</t>
  </si>
  <si>
    <t>SN 37907179</t>
  </si>
  <si>
    <t>Apple.com</t>
  </si>
  <si>
    <t>MacBook Air</t>
  </si>
  <si>
    <t>Apple MacBook Air 11.6</t>
  </si>
  <si>
    <t>MacBook Air 11.6</t>
  </si>
  <si>
    <t>C02KJOVADRV9</t>
  </si>
  <si>
    <t>Yes</t>
  </si>
  <si>
    <t>Fastsigns Olathe</t>
  </si>
  <si>
    <t>7 - X stand signs</t>
  </si>
  <si>
    <t>Impact</t>
  </si>
  <si>
    <t>Elation 5 Pro R moving light fixture</t>
  </si>
  <si>
    <t>CCi Solutions</t>
  </si>
  <si>
    <t>Jands Vista 2048 Ch. Dongle</t>
  </si>
  <si>
    <t>Jands Vista S3 control surface</t>
  </si>
  <si>
    <t>Electronic Center</t>
  </si>
  <si>
    <t>15" woofer</t>
  </si>
  <si>
    <t>IPAD 2 MC769LL/A black 16 GB</t>
  </si>
  <si>
    <t>XE303C12-AO Samsung series 3 11.6" chrome</t>
  </si>
  <si>
    <t>499988 IPSG 50" LED Westinghouse HDTV</t>
  </si>
  <si>
    <t>Black Accent Chair - Jeff's office</t>
  </si>
  <si>
    <t>Lateral File - Jeff's office</t>
  </si>
  <si>
    <t>Writing Desk - Jeff's office</t>
  </si>
  <si>
    <t>avid.com</t>
  </si>
  <si>
    <t>9191-58871-00 AY MB ASSY with DC HRNS Dshow</t>
  </si>
  <si>
    <t>Halco Construction Equip</t>
  </si>
  <si>
    <t>JLG 30' battery operated single person lift</t>
  </si>
  <si>
    <t>JLG</t>
  </si>
  <si>
    <t>Samsung Electronics 840 Series solid state drive (SSD) 500GB</t>
  </si>
  <si>
    <t>Rick Muchow</t>
  </si>
  <si>
    <t>Ultimate Ears 7 Pro Ambient Clear 0001-translucent</t>
  </si>
  <si>
    <t>Ipad - Grade School</t>
  </si>
  <si>
    <t>Ipad - grade school</t>
  </si>
  <si>
    <t>Ipad - students</t>
  </si>
  <si>
    <t>Amazon.com</t>
  </si>
  <si>
    <t>Sennheiser EW 300 IEM G3-G-US in ear monitor</t>
  </si>
  <si>
    <t>3rd Power Amplifier</t>
  </si>
  <si>
    <t>Amplifier</t>
  </si>
  <si>
    <t>Mass Street Music</t>
  </si>
  <si>
    <t>Strymon Timeline Delay</t>
  </si>
  <si>
    <t>Atronic Alarms</t>
  </si>
  <si>
    <t>DVR for security cameras</t>
  </si>
  <si>
    <t>DVR to view 23 security cameras</t>
  </si>
  <si>
    <t>Office</t>
  </si>
  <si>
    <t>Security Camera</t>
  </si>
  <si>
    <t>PTL Camera</t>
  </si>
  <si>
    <t>PTL</t>
  </si>
  <si>
    <t>Sanctuary</t>
  </si>
  <si>
    <t>Roof</t>
  </si>
  <si>
    <t>eBay Retailer</t>
  </si>
  <si>
    <t>HP Notebook</t>
  </si>
  <si>
    <t>HP</t>
  </si>
  <si>
    <t>EliteBook 8440p</t>
  </si>
  <si>
    <t>CND0290076</t>
  </si>
  <si>
    <t>30" black circular table, 42" tall - 8 @ $169.13</t>
  </si>
  <si>
    <t>cart to hold 8 30" circular tables</t>
  </si>
  <si>
    <t>Signworld America</t>
  </si>
  <si>
    <t>48" HD retractable banner stand and printing - 3 @ $209</t>
  </si>
  <si>
    <t>4 Imprint</t>
  </si>
  <si>
    <t>48" Traverse Floor Display - 4 @ $579.82</t>
  </si>
  <si>
    <t>Target</t>
  </si>
  <si>
    <t>Apple tablet - check in</t>
  </si>
  <si>
    <t>30" black circular table, 42" tall (18 @ $169.13)</t>
  </si>
  <si>
    <t>30" black circular table, 42" tall</t>
  </si>
  <si>
    <t>cart to hold 30" circular tables - 2 @ $362.00</t>
  </si>
  <si>
    <t>IMAC 27"</t>
  </si>
  <si>
    <t>Ipad 2 with Apple Care</t>
  </si>
  <si>
    <t>Enterasys Access Point</t>
  </si>
  <si>
    <t>Enterasys</t>
  </si>
  <si>
    <t xml:space="preserve">AP3705i </t>
  </si>
  <si>
    <t>13505475915R0000</t>
  </si>
  <si>
    <t>Lobby</t>
  </si>
  <si>
    <t>Access Point for Speedway</t>
  </si>
  <si>
    <t>13501955915R0000</t>
  </si>
  <si>
    <t>Costco</t>
  </si>
  <si>
    <t>Rug Dr</t>
  </si>
  <si>
    <t>skaarhoj k/s (online)</t>
  </si>
  <si>
    <t>assembly of 2 x 8 GPIO Arduino Sheild</t>
  </si>
  <si>
    <t>Summit Integrated Systems</t>
  </si>
  <si>
    <t>BlackMagic Design ATEM 2 M/E Broadcast</t>
  </si>
  <si>
    <t>BlackMagic design teranex2D processor</t>
  </si>
  <si>
    <t>Datavideo MCU-100 Hand Held Camera</t>
  </si>
  <si>
    <t>Electric Guitar Rosewood Fingerboard</t>
  </si>
  <si>
    <t>Fujinon MS-01 focus &amp; zoom controls</t>
  </si>
  <si>
    <t>Panasonic BT-LH910</t>
  </si>
  <si>
    <t>Panasonic HPX255</t>
  </si>
  <si>
    <t>Panasonic HPX370</t>
  </si>
  <si>
    <t>Vinten Vision Blue5 tripod &amp; fluid head kit</t>
  </si>
  <si>
    <t>Allen &amp; Heath Dante Card</t>
  </si>
  <si>
    <t>Allen &amp; Heath ME-U Distributor</t>
  </si>
  <si>
    <t>Atem 1ME production studio</t>
  </si>
  <si>
    <t>Biamp Nexia SP</t>
  </si>
  <si>
    <t>QSC KLA 12 - delay speakers</t>
  </si>
  <si>
    <t>QSC KLA 12 - speakers</t>
  </si>
  <si>
    <t>QSC KW181 sub woofers</t>
  </si>
  <si>
    <t>Yamaha CL3</t>
  </si>
  <si>
    <t>Comcetera LTD</t>
  </si>
  <si>
    <t>StreamTwo Rain - Decoder</t>
  </si>
  <si>
    <t>StreamTwo Storm - Encoder</t>
  </si>
  <si>
    <t>Sharp Aquos 7034 class 691234 Diag LED 1080p 120Hz Smart HDTV</t>
  </si>
  <si>
    <t>Microphone Madness Inc</t>
  </si>
  <si>
    <t>MM-PSM Pro Series Earset Microphone (beige) Senn Evolution</t>
  </si>
  <si>
    <t>JL Cooper ES-450-J2</t>
  </si>
  <si>
    <t>Sweetwater.com</t>
  </si>
  <si>
    <t>Eventide H9 Harmonizer MultiEffects pedal</t>
  </si>
  <si>
    <t>Canon T31</t>
  </si>
  <si>
    <t>Communications</t>
  </si>
  <si>
    <t>MBP</t>
  </si>
  <si>
    <t>co2mkenafd56</t>
  </si>
  <si>
    <t>Top Electronics Deals</t>
  </si>
  <si>
    <t>Samsung 840 EVO series 1TB 2.5" SATA III intl SSD 540MB read/write - hard drive</t>
  </si>
  <si>
    <t>Samsung un60fh6003fxza LED 10</t>
  </si>
  <si>
    <t>Newegg.com</t>
  </si>
  <si>
    <t>Samsung 840 EVO mz-7teitobw 2.5" 1TB SATA III tlc - hard drive</t>
  </si>
  <si>
    <t>Asset Recovery</t>
  </si>
  <si>
    <t>HP Elitebook 8440p</t>
  </si>
  <si>
    <t>Notebook</t>
  </si>
  <si>
    <t>Elitebook</t>
  </si>
  <si>
    <t>CND04719KV</t>
  </si>
  <si>
    <t>WIFI IPAD air 16GB Silver</t>
  </si>
  <si>
    <t>Offex Mobile 72" x 40" double sided magnetic whiteboard</t>
  </si>
  <si>
    <t>72" 6 shelf Espresso traditional bookcase</t>
  </si>
  <si>
    <t>72" 6 shelf Espresso traditional bookcase - Rob's office</t>
  </si>
  <si>
    <t>Seismic Audio - 16 channel 100' XLR snake cable</t>
  </si>
  <si>
    <t>Lansing</t>
  </si>
  <si>
    <t>Lansing Campus</t>
  </si>
  <si>
    <t>Seismic</t>
  </si>
  <si>
    <t>MBP 13.3</t>
  </si>
  <si>
    <t>c02mkbv5fgyy</t>
  </si>
  <si>
    <t>Presonus studiolive 16.0.2 16 channel audio mixer</t>
  </si>
  <si>
    <t>Presonus</t>
  </si>
  <si>
    <t>Limo Studio2 pc dimmable 500 LED photography</t>
  </si>
  <si>
    <t>Hikvision DS-2cd2632f-1 - Security camera</t>
  </si>
  <si>
    <t>Limo Studio 2 pc dimmable 500 LED photography</t>
  </si>
  <si>
    <t>K &amp; M Microphone Stand w/telescopic boom arm</t>
  </si>
  <si>
    <t>Crucial M550 iTB SATA 2.3" 7 mm Internal solid state hard drive</t>
  </si>
  <si>
    <t>Tent - 2 @ $119.95</t>
  </si>
  <si>
    <t>Hard Drive - wd 2TB 3.5 mainstream HD IP - 4 @ $79.99</t>
  </si>
  <si>
    <t>Hard Drive - wd 2TB 3.5 mainstream HD IP</t>
  </si>
  <si>
    <t>MacBook Air 13"</t>
  </si>
  <si>
    <t>BenQ MW523 WXGA 3000 Lumen 3D 1-K Hour Lamp Life DLP Projector</t>
  </si>
  <si>
    <t>VIRB elite Dark</t>
  </si>
  <si>
    <t>Virb elite Dark - 2 @ $219.99</t>
  </si>
  <si>
    <t>VIRB elite dark - 2 @ $219.99</t>
  </si>
  <si>
    <t>Squareup</t>
  </si>
  <si>
    <t>cash drawer</t>
  </si>
  <si>
    <t>EBay Retailer</t>
  </si>
  <si>
    <t>HP 8440p</t>
  </si>
  <si>
    <t>Elitebook 8440P</t>
  </si>
  <si>
    <t>CND03214L9</t>
  </si>
  <si>
    <t>printer</t>
  </si>
  <si>
    <t>Tripp Lite SMART UPS Smart Rackmount AAVR LCD</t>
  </si>
  <si>
    <t>Cymbal Stand</t>
  </si>
  <si>
    <t>B &amp; H</t>
  </si>
  <si>
    <t>Matrox MACHD Compress HD</t>
  </si>
  <si>
    <t>Pur-o-zone</t>
  </si>
  <si>
    <t>Stand on scrubber</t>
  </si>
  <si>
    <t>Stand-on Scrubber</t>
  </si>
  <si>
    <t>SC1500R Rev</t>
  </si>
  <si>
    <t>CyberPower OR1000LCDRM1U smart app LCD UPS</t>
  </si>
  <si>
    <t>Furman M-8S Power Sequencer with 9 outlets</t>
  </si>
  <si>
    <t>Gibraltar Drum shield 5.5 x 10</t>
  </si>
  <si>
    <t>Tripp Lite Smart1500RM2U UPS smart Rackmount</t>
  </si>
  <si>
    <t>AJA HA5 HDMI to SD/HD-SDI video and audio converter</t>
  </si>
  <si>
    <t>MBP 15.4 - C02NTAC0G3QC - Kasey</t>
  </si>
  <si>
    <t>MBP 15.4 - C02NTAC0G3QC</t>
  </si>
  <si>
    <t>C02NTAC0G3QC</t>
  </si>
  <si>
    <t>Zildjian 17" dark crash thin</t>
  </si>
  <si>
    <t>Zildjian 19" dark crash thin</t>
  </si>
  <si>
    <t>Nektar Panorama P6 61-key MIDI controller keyboard (2 @ $599)</t>
  </si>
  <si>
    <t>Allen &amp; Heath ZED-14 replacement mixer</t>
  </si>
  <si>
    <t>Summit</t>
  </si>
  <si>
    <t>Black Magic Design Compact VideoHub - 4</t>
  </si>
  <si>
    <t>Sharp LC 60"</t>
  </si>
  <si>
    <t>X Sharp LC - building entry north</t>
  </si>
  <si>
    <t>X Sharp LC - coffee bar</t>
  </si>
  <si>
    <t>X Sharp LC - counseling</t>
  </si>
  <si>
    <t>X Sharp LC - men's bathroom</t>
  </si>
  <si>
    <t>X Sharp LC - mom's room</t>
  </si>
  <si>
    <t>X Sharp LC - new commons 1</t>
  </si>
  <si>
    <t>X Sharp LC - new commons 2</t>
  </si>
  <si>
    <t>X Sharp LC - new hallway bathroom</t>
  </si>
  <si>
    <t>X Sharp LC - Next Steps Room</t>
  </si>
  <si>
    <t>X Sharp LC - pastor's green room</t>
  </si>
  <si>
    <t>X Sharp LC - preschool check in</t>
  </si>
  <si>
    <t>X Sharp LC - upstairs landing</t>
  </si>
  <si>
    <t>X Sharp LC - women's bathroom</t>
  </si>
  <si>
    <t>X Sharp LC - Worship Center entry</t>
  </si>
  <si>
    <t>U Line</t>
  </si>
  <si>
    <t>Heavy Duty Metal Storage Cabinet - 2 @ $365.00</t>
  </si>
  <si>
    <t>Heavy Duty Metal Storage Cabinet - kitchen</t>
  </si>
  <si>
    <t>15 inch Macbook Pro ZORC</t>
  </si>
  <si>
    <t>MacBook Pro 15" ZORD</t>
  </si>
  <si>
    <t>Blues to Bach</t>
  </si>
  <si>
    <t>Austin Guitar</t>
  </si>
  <si>
    <t>Austin</t>
  </si>
  <si>
    <t>MicroCenter</t>
  </si>
  <si>
    <t>ACER AC P96T</t>
  </si>
  <si>
    <t>Acer</t>
  </si>
  <si>
    <t>Allen &amp; Heath ZED-14 14 channel mixer with USB interface</t>
  </si>
  <si>
    <t>AA25-DEC/SB</t>
  </si>
  <si>
    <t>Markertek.com</t>
  </si>
  <si>
    <t>Teradek slice - 166 rack mount HD-SDI</t>
  </si>
  <si>
    <t xml:space="preserve">Community Church Builder </t>
  </si>
  <si>
    <t>Community Church Builder</t>
  </si>
  <si>
    <t xml:space="preserve">Annual </t>
  </si>
  <si>
    <t>Deluxe Version + Premiere Support</t>
  </si>
  <si>
    <t>Propellorhead Shop</t>
  </si>
  <si>
    <t>Reason 8.2 software</t>
  </si>
  <si>
    <t>B &amp; H Photo</t>
  </si>
  <si>
    <t>Canon 1193081 EF-S 18-135mm f/3.5-5.6 IS lens</t>
  </si>
  <si>
    <t>Canon CAC100AF2 EOS C100 Mark II Cinema EOS Camera</t>
  </si>
  <si>
    <t>Canon</t>
  </si>
  <si>
    <t>CAC100AF2</t>
  </si>
  <si>
    <t>Samsung UN40H6350AFXZA</t>
  </si>
  <si>
    <t>Monoprice</t>
  </si>
  <si>
    <t>28" UHD LED CrystalPro 4K 60Hz HDMI/MHL DVI Monitor</t>
  </si>
  <si>
    <t>BP-975 Intelligent Lithium Ion Battery Pack</t>
  </si>
  <si>
    <t>HDSLR/video shoulder pack</t>
  </si>
  <si>
    <t>Musicians Friend</t>
  </si>
  <si>
    <t>Ibanez AW54CEOPN Artwood solid top Dreadnought Acoustic Electric Guitar</t>
  </si>
  <si>
    <t>Sweetwater</t>
  </si>
  <si>
    <t>Squier Vint '72 Tele Thinline Natural</t>
  </si>
  <si>
    <t>ICS15099255</t>
  </si>
  <si>
    <t>IMAC 21.5"</t>
  </si>
  <si>
    <t xml:space="preserve"> C02PG86SF8j2</t>
  </si>
  <si>
    <t>D25P800UF8J2</t>
  </si>
  <si>
    <t>C07PK4BCG1HW</t>
  </si>
  <si>
    <t>d25p8003f8j2</t>
  </si>
  <si>
    <t>C02PG864F8J2</t>
  </si>
  <si>
    <t xml:space="preserve">IMAC 27" </t>
  </si>
  <si>
    <t>Co2QD0CMFVH6</t>
  </si>
  <si>
    <t>Samsung 28" UHD Monitor</t>
  </si>
  <si>
    <t>U28D590D</t>
  </si>
  <si>
    <t>Transcend Information 1 TB SATA III 6Gb/s 2.5 Inch Solid State Drive</t>
  </si>
  <si>
    <t>Transcend</t>
  </si>
  <si>
    <t>TS1TSSD370</t>
  </si>
  <si>
    <t>HON 5900 Series ComforTask Pneumatic Task Stool - Lyssa</t>
  </si>
  <si>
    <t>HON 5900 Series ComforTask Pneumatic Task Stool</t>
  </si>
  <si>
    <t>HON</t>
  </si>
  <si>
    <t>Mojotone</t>
  </si>
  <si>
    <t>Guitar Electronics</t>
  </si>
  <si>
    <t>Keeley Electronics</t>
  </si>
  <si>
    <t>Steep Mountain - Music Equipment</t>
  </si>
  <si>
    <t>GoPro HERO4 Black Moto Bundle - time lapse camera</t>
  </si>
  <si>
    <t>GoPro Hero4 Black Moto bundle - time lapse camera</t>
  </si>
  <si>
    <t>xorbee.com</t>
  </si>
  <si>
    <t>Xotic - twill - Brick Red - 3 @ $490.00</t>
  </si>
  <si>
    <t>loungers for student centers</t>
  </si>
  <si>
    <t>Xotic - twill - graphite Grey - 6 @ $490.00</t>
  </si>
  <si>
    <t>Xotic - twill - Midnight Black - 3 @ $490.00</t>
  </si>
  <si>
    <t>Image 360</t>
  </si>
  <si>
    <t>Dimensional Letters - indoor signage</t>
  </si>
  <si>
    <t>IKEA</t>
  </si>
  <si>
    <t>Randmon Wing</t>
  </si>
  <si>
    <t>Displays2Go</t>
  </si>
  <si>
    <t>TV stand with wheels</t>
  </si>
  <si>
    <t>Preownedtech</t>
  </si>
  <si>
    <t>Samsung U28D590D 28"4KUHD Display Monitor</t>
  </si>
  <si>
    <t>Impact Interiors</t>
  </si>
  <si>
    <t>Trix Stacking Side Chair (525 @ $169.22 each) - new worship center</t>
  </si>
  <si>
    <t>Trix Stacking Side Chair 4-leg, no arms - new worship center</t>
  </si>
  <si>
    <t>eBay</t>
  </si>
  <si>
    <t>Adtran 2.5 Gbps Single Mode Netvanta - 4@ $70.00</t>
  </si>
  <si>
    <t>Adtran 2.5 Gbps Single Mode Netvanta</t>
  </si>
  <si>
    <t>Feldman's</t>
  </si>
  <si>
    <t>Chain saw - 16" bar</t>
  </si>
  <si>
    <t>Intel Memory 1TB Hard Drive - refurbished</t>
  </si>
  <si>
    <t>Intel</t>
  </si>
  <si>
    <t>RMI Golf Carts</t>
  </si>
  <si>
    <t>2010 Ez-Go TXT 4-passenger</t>
  </si>
  <si>
    <t>Paypal - dangallaghe</t>
  </si>
  <si>
    <t>Wireless Zebra Thermal Label Printer - 5 @ $265.00</t>
  </si>
  <si>
    <t>Sharp 55" LC-55LE653U Full HD</t>
  </si>
  <si>
    <t>Sharp</t>
  </si>
  <si>
    <t>Branden Arm Chair - Blue - 12 @ $349.99</t>
  </si>
  <si>
    <t xml:space="preserve">Seids </t>
  </si>
  <si>
    <t>NF7216-9</t>
  </si>
  <si>
    <t>Branden Arm Chair - Green - 6 @ $349.99</t>
  </si>
  <si>
    <t>NF7212-1</t>
  </si>
  <si>
    <t>Branden Arm Chair - Orange - 6 @ $349.99</t>
  </si>
  <si>
    <t>NF7214-5</t>
  </si>
  <si>
    <t>Leather sofa - taupe - 6 @ $932.79</t>
  </si>
  <si>
    <t>Leather sofa - taupe - 5 @ $932.79</t>
  </si>
  <si>
    <t>Kukah</t>
  </si>
  <si>
    <t>Round Nesting Cocktail tables - 4 @ $346.14</t>
  </si>
  <si>
    <t>Round Nesting Cocktail tables</t>
  </si>
  <si>
    <t>Hammy</t>
  </si>
  <si>
    <t>Treetop Products</t>
  </si>
  <si>
    <t>32 gallon Sonata sloped top trash recepticals - 24 @ $237.35</t>
  </si>
  <si>
    <t>Sonata</t>
  </si>
  <si>
    <t>Olathe Turf &amp; Tractor</t>
  </si>
  <si>
    <t>Cub Cadet Volunteer Utility Vehicle with Snowplow</t>
  </si>
  <si>
    <t>Evolution G2 100 Series wireless microphone</t>
  </si>
  <si>
    <t>Evolution G2 100 Series</t>
  </si>
  <si>
    <t>Musical instruments and Equipment</t>
  </si>
  <si>
    <t>Black Magic Hyperdeck Studio Pro</t>
  </si>
  <si>
    <t>Marchall CV360-CGB w/Genlock</t>
  </si>
  <si>
    <t>Used Roland Fantom X8 arranger keyboard</t>
  </si>
  <si>
    <t>Used Yamaha S90ES Synthesizer</t>
  </si>
  <si>
    <t>MacBook Pro</t>
  </si>
  <si>
    <t>Worship Reason Computer</t>
  </si>
  <si>
    <t xml:space="preserve"> Co2QD0CMFVH6</t>
  </si>
  <si>
    <t xml:space="preserve"> No</t>
  </si>
  <si>
    <t>Zebra Wifi Printer</t>
  </si>
  <si>
    <t>Zebra GX420D</t>
  </si>
  <si>
    <t>Zebra</t>
  </si>
  <si>
    <t>GX420D</t>
  </si>
  <si>
    <t>IT Closet (Reef)</t>
  </si>
  <si>
    <t>Power Supply</t>
  </si>
  <si>
    <t>Hard drive enclosure</t>
  </si>
  <si>
    <t>Apple iPad 4</t>
  </si>
  <si>
    <t>I-pad case $49.99</t>
  </si>
  <si>
    <t>Sears</t>
  </si>
  <si>
    <t>Ice Machine - 50 LB - 3 @ $800 each</t>
  </si>
  <si>
    <t>MacBook Pro 13" - Jason Morris</t>
  </si>
  <si>
    <t>Pur-O-Zone</t>
  </si>
  <si>
    <t>Upright 28" Carpetriever Vacuum</t>
  </si>
  <si>
    <t>Black Magic design smart videohub 20x20 routing switcher</t>
  </si>
  <si>
    <t>MBP 13.3 - Julie Norman</t>
  </si>
  <si>
    <t>MBP 13.3 -Angela Handy</t>
  </si>
  <si>
    <t>APC smart-UPS battery backup power supply</t>
  </si>
  <si>
    <t>360 Fly 60 Degree Camera - Black</t>
  </si>
  <si>
    <t>Sharp HDTV - 6 @ $449.99</t>
  </si>
  <si>
    <t>Sharp 5034 Class LED 1080p HDTV Black</t>
  </si>
  <si>
    <t>5034 Class 49734 Diag LED 1080p HDTV Black</t>
  </si>
  <si>
    <t>Student Center and South Sanctuary</t>
  </si>
  <si>
    <t>15151 - Bldg Addition - Lenexa</t>
  </si>
  <si>
    <t>Electro Harmoniz POG2 Polyphonic Octave Generator</t>
  </si>
  <si>
    <t>Impact Interior</t>
  </si>
  <si>
    <t>Pre-owned workstation to accomodate 9 users</t>
  </si>
  <si>
    <t>738 Eisenhower Rd, Leavenworth</t>
  </si>
  <si>
    <t>15151 Bldg - Leavenworth</t>
  </si>
  <si>
    <t>Leavenworth</t>
  </si>
  <si>
    <t>738 Eisenhower Rd, Leavenworth 9.7 acres</t>
  </si>
  <si>
    <t>15110 Land - Leavenworth</t>
  </si>
  <si>
    <t>AVL Design &amp; Installation</t>
  </si>
  <si>
    <t>Capitalize interest per CPA</t>
  </si>
  <si>
    <t>Small AVL equipment - under $1000 each</t>
  </si>
  <si>
    <t>Displays2go</t>
  </si>
  <si>
    <t>TV stand with wheels fits Monitors 60" to 100"</t>
  </si>
  <si>
    <t>Wacom Intuos Pro Pen and touch MediumTablet</t>
  </si>
  <si>
    <t>Apple Inc</t>
  </si>
  <si>
    <t>MBAir 13.3</t>
  </si>
  <si>
    <t>TV stand with wheels - fits monitors 60" to 100"</t>
  </si>
  <si>
    <t>Center Projector</t>
  </si>
  <si>
    <t>Wayfair</t>
  </si>
  <si>
    <t>Wade Logan - 5 piece Pub Table Set</t>
  </si>
  <si>
    <t>MacBook Air - staff computers - 3 @ $990.78</t>
  </si>
  <si>
    <t>MBAIR 13.3 - Obed's computer</t>
  </si>
  <si>
    <t>PayPal</t>
  </si>
  <si>
    <t>Donna's Computer</t>
  </si>
  <si>
    <t>B&amp;H Photo and Video</t>
  </si>
  <si>
    <t>Canon CAHFR600B Vixia HF R600 Full HD Camcorder 2 @ $199.99</t>
  </si>
  <si>
    <t>Citizen CMP-30,3.0" Bluetooth, Apple IOS CMP-30BTIU printer</t>
  </si>
  <si>
    <t>Decimator MD-HX HDMI/SDI Cross Converter</t>
  </si>
  <si>
    <t>Adtran Netvanta 1638P switch</t>
  </si>
  <si>
    <t>Decimator MD-HX Miniature Converter 2 @ $295</t>
  </si>
  <si>
    <t>Imorden 6.5 ft Carbon Fiber Mini Jib Arm Camera Jib Crane with counterweights</t>
  </si>
  <si>
    <t>MBAir 13.3 - Ashley Penner and a spare 2 @ $990.78</t>
  </si>
  <si>
    <t>Gear Systems</t>
  </si>
  <si>
    <t>Eiki IK-401 W projector</t>
  </si>
  <si>
    <t>Gas powered ATT Echo gas powerhead trimmer</t>
  </si>
  <si>
    <t>Reverb</t>
  </si>
  <si>
    <t>Kemper Profiler Remote for Profiler</t>
  </si>
  <si>
    <t>Clear Sonic A5-7  7 sections - drum shield</t>
  </si>
  <si>
    <t>Zebra GX420D Label Direct Thermal Printer USB WIFI with LCD 2 @ $329</t>
  </si>
  <si>
    <t>Alien Ears</t>
  </si>
  <si>
    <t>CFR3 full range triple driver - in ear monitors</t>
  </si>
  <si>
    <t>Dell E2715H 27" screen LED Lit Monitor - Kassi</t>
  </si>
  <si>
    <t>HOS HA3 Host Applicator</t>
  </si>
  <si>
    <t>Apple, Inc</t>
  </si>
  <si>
    <t>Ipad Pro 9.7"</t>
  </si>
  <si>
    <t>Member's Mark 8 Burner Event Grill</t>
  </si>
  <si>
    <t>Apple 11.6" Macbook Air Computer - Bri Wiebe</t>
  </si>
  <si>
    <t>Apple 11.6" Macbook Air Computer - Joe Klassen</t>
  </si>
  <si>
    <t>Ubiquiti UVC PRO UniFi Full HD 1080p Indoor/Outdoor CCTV Camera 3 @ $461.54</t>
  </si>
  <si>
    <t>Ubiquiti</t>
  </si>
  <si>
    <t>AutoSteady 3-Axis Cell Phone Stabilizer for Recording</t>
  </si>
  <si>
    <t>Ubiquiti UVC-3 UniFi 720p Indoor/Outdoor camera with IR LED - 2 @ $379.97</t>
  </si>
  <si>
    <t>mailbox out by cross</t>
  </si>
  <si>
    <t>Allen &amp; Heath Personal Mixer 3 @ $636.97</t>
  </si>
  <si>
    <t>PSM300 Wireless System with SE215-Cl Earphones 3 @ $784.00</t>
  </si>
  <si>
    <t>Neat Patch Cable Mgmt Unit</t>
  </si>
  <si>
    <t>Toro Power Clear 721 E Snow Thrower</t>
  </si>
  <si>
    <t>Toro</t>
  </si>
  <si>
    <t>#38742</t>
  </si>
  <si>
    <t>Ipad Pro 9.7 inch WIFI</t>
  </si>
  <si>
    <t>Piedmont Fiberglass, Inc</t>
  </si>
  <si>
    <t>Baptistery with heater</t>
  </si>
  <si>
    <t>Model 11</t>
  </si>
  <si>
    <t>*111</t>
  </si>
  <si>
    <t>*Test Asset</t>
  </si>
  <si>
    <t>Sold</t>
  </si>
  <si>
    <t xml:space="preserve">Email Virus </t>
  </si>
  <si>
    <t>Lease</t>
  </si>
  <si>
    <t>Barracuda</t>
  </si>
  <si>
    <t>Firewall 200</t>
  </si>
  <si>
    <t>30J14100899</t>
  </si>
  <si>
    <t>Zebra GX 420D</t>
  </si>
  <si>
    <t xml:space="preserve"> Zebra label printer</t>
  </si>
  <si>
    <t>GX 420D</t>
  </si>
  <si>
    <t>3FNTCC1</t>
  </si>
  <si>
    <t>Lindsey Simoes PC</t>
  </si>
  <si>
    <t>Desktop PC</t>
  </si>
  <si>
    <t>Precision 390</t>
  </si>
  <si>
    <t>Ms mouse, Asus Wide Monitor, Dell keyboard</t>
  </si>
  <si>
    <t>3R9VCC1</t>
  </si>
  <si>
    <t>Laptop</t>
  </si>
  <si>
    <t>Latitude D820</t>
  </si>
  <si>
    <t>3S0602X074704</t>
  </si>
  <si>
    <t>UPS Battery Backup</t>
  </si>
  <si>
    <t>APC</t>
  </si>
  <si>
    <t>SC1500</t>
  </si>
  <si>
    <t>Battery replaced and updated 9/16/13</t>
  </si>
  <si>
    <t>42A061102117</t>
  </si>
  <si>
    <t>Zebra Printer</t>
  </si>
  <si>
    <t>Repaired</t>
  </si>
  <si>
    <t>Tiger Direct</t>
  </si>
  <si>
    <t>Label Printer</t>
  </si>
  <si>
    <t>Speedway Zebra Printer 3</t>
  </si>
  <si>
    <t>GK420D</t>
  </si>
  <si>
    <t>6p92lv1</t>
  </si>
  <si>
    <t xml:space="preserve">Laptop </t>
  </si>
  <si>
    <t>E5430</t>
  </si>
  <si>
    <t>6YYKFC1</t>
  </si>
  <si>
    <t>D820</t>
  </si>
  <si>
    <t>Sandisk ssd, hardware standard 1.01</t>
  </si>
  <si>
    <t>923YT32RTTV2</t>
  </si>
  <si>
    <t>Toshiba External HDD</t>
  </si>
  <si>
    <t>940600057-100243</t>
  </si>
  <si>
    <t>Backup Security Gateway</t>
  </si>
  <si>
    <t>Astaro</t>
  </si>
  <si>
    <t>Internet Security 220</t>
  </si>
  <si>
    <t>9K5MBG1</t>
  </si>
  <si>
    <t>Latitude D630</t>
  </si>
  <si>
    <t>Power supply</t>
  </si>
  <si>
    <t>9pzgww1</t>
  </si>
  <si>
    <t>E6530</t>
  </si>
  <si>
    <t>9RZ5051</t>
  </si>
  <si>
    <t>Jen Reynolds PC</t>
  </si>
  <si>
    <t>Dimensions 4600</t>
  </si>
  <si>
    <t>Mouse, Dell Monitor, Dell Keyboard</t>
  </si>
  <si>
    <t>Ask Leavenworth</t>
  </si>
  <si>
    <t>Leased from Windstream</t>
  </si>
  <si>
    <t>Adtran 1534P</t>
  </si>
  <si>
    <t>Adtran</t>
  </si>
  <si>
    <t>1534P</t>
  </si>
  <si>
    <t>lbadtn1238ag802</t>
  </si>
  <si>
    <t>Leased from Windstream, deployed at Leavenworth</t>
  </si>
  <si>
    <t>AV00001</t>
  </si>
  <si>
    <t>Projector</t>
  </si>
  <si>
    <t>White  portable projector</t>
  </si>
  <si>
    <t>Sanyo</t>
  </si>
  <si>
    <t>AVL0000011</t>
  </si>
  <si>
    <t>Mackie Active Speaker</t>
  </si>
  <si>
    <t>Mickie</t>
  </si>
  <si>
    <t>Srm350</t>
  </si>
  <si>
    <t>21JU22030</t>
  </si>
  <si>
    <t>AVL0000012</t>
  </si>
  <si>
    <t>AVL0000013</t>
  </si>
  <si>
    <t>Srm450</t>
  </si>
  <si>
    <t>(21)CB251258</t>
  </si>
  <si>
    <t>AVL000002</t>
  </si>
  <si>
    <t>Dimmer pack</t>
  </si>
  <si>
    <t>6 ch dimmer pack</t>
  </si>
  <si>
    <t>Leprechaun</t>
  </si>
  <si>
    <t>LD-360 series</t>
  </si>
  <si>
    <t>AVL000003</t>
  </si>
  <si>
    <t>AVL000004</t>
  </si>
  <si>
    <t>Main auditorium spot fixture</t>
  </si>
  <si>
    <t>Etc</t>
  </si>
  <si>
    <t>Source four 750 19 degree</t>
  </si>
  <si>
    <t>AVL000005</t>
  </si>
  <si>
    <t>AVL000006</t>
  </si>
  <si>
    <t>AVL000007</t>
  </si>
  <si>
    <t>AVL000008</t>
  </si>
  <si>
    <t>AVL000009</t>
  </si>
  <si>
    <t>AVL000010</t>
  </si>
  <si>
    <t>Main Lighting Control Panel</t>
  </si>
  <si>
    <t>Leprecon</t>
  </si>
  <si>
    <t>LP â€“ 624 â€“ MDX â€“ DA</t>
  </si>
  <si>
    <t>AVL000014</t>
  </si>
  <si>
    <t xml:space="preserve">Portable white </t>
  </si>
  <si>
    <t>Epsom</t>
  </si>
  <si>
    <t>H270A</t>
  </si>
  <si>
    <t>KZGF8Z0178L</t>
  </si>
  <si>
    <t>AVL000015</t>
  </si>
  <si>
    <t>Extreme Sound Board</t>
  </si>
  <si>
    <t>Mackie</t>
  </si>
  <si>
    <t>VLZ Pro</t>
  </si>
  <si>
    <t>(21)BW99235</t>
  </si>
  <si>
    <t>AVL000016</t>
  </si>
  <si>
    <t>Extreme Video Scaler</t>
  </si>
  <si>
    <t>Kramer</t>
  </si>
  <si>
    <t>VP-419xl</t>
  </si>
  <si>
    <t>AVL000017</t>
  </si>
  <si>
    <t>Extreme  AV Rack</t>
  </si>
  <si>
    <t>Odyssey</t>
  </si>
  <si>
    <t>FZ1116WDLX</t>
  </si>
  <si>
    <t>Rack drawer, rack shelves</t>
  </si>
  <si>
    <t>AVL000018</t>
  </si>
  <si>
    <t>AVL000019</t>
  </si>
  <si>
    <t>AVL000021</t>
  </si>
  <si>
    <t>AVL000022</t>
  </si>
  <si>
    <t>AVL000023</t>
  </si>
  <si>
    <t>AVL000025</t>
  </si>
  <si>
    <t>AVL000026</t>
  </si>
  <si>
    <t>Anvil Light Case</t>
  </si>
  <si>
    <t>Anvil</t>
  </si>
  <si>
    <t>AVL000027</t>
  </si>
  <si>
    <t>Student Sound Board</t>
  </si>
  <si>
    <t>VLZ 3</t>
  </si>
  <si>
    <t>AVL000028</t>
  </si>
  <si>
    <t>Student Audio Rack</t>
  </si>
  <si>
    <t>SKB</t>
  </si>
  <si>
    <t xml:space="preserve">Rack drawer, mixer,  eq, wireless mic set. </t>
  </si>
  <si>
    <t>AVL000030</t>
  </si>
  <si>
    <t>Array speaker</t>
  </si>
  <si>
    <t>QSC</t>
  </si>
  <si>
    <t>KLA 12</t>
  </si>
  <si>
    <t>LLD620140</t>
  </si>
  <si>
    <t>AVL000031</t>
  </si>
  <si>
    <t>LLD620137</t>
  </si>
  <si>
    <t>AVL000032</t>
  </si>
  <si>
    <t>LLD620152</t>
  </si>
  <si>
    <t>AVL000033</t>
  </si>
  <si>
    <t>LLD620138</t>
  </si>
  <si>
    <t>AVL000035</t>
  </si>
  <si>
    <t>Sdi converter box</t>
  </si>
  <si>
    <t>Sdi to hdmi converter</t>
  </si>
  <si>
    <t>Aja</t>
  </si>
  <si>
    <t>HI5</t>
  </si>
  <si>
    <t>K0137093</t>
  </si>
  <si>
    <t>C02KH1VXDRVGV</t>
  </si>
  <si>
    <t>C02LJZTTF5V7X</t>
  </si>
  <si>
    <t>C02MKBV5FGYY</t>
  </si>
  <si>
    <t>C02MKENAFD56</t>
  </si>
  <si>
    <t>C02N51E2G3QP</t>
  </si>
  <si>
    <t>Cubicle</t>
  </si>
  <si>
    <t>C02ND5KNG5RP</t>
  </si>
  <si>
    <t>C02NTF9XG3QC</t>
  </si>
  <si>
    <t>Apple MacBook Pro</t>
  </si>
  <si>
    <t>South Africa</t>
  </si>
  <si>
    <t xml:space="preserve">Apple </t>
  </si>
  <si>
    <t>C2QH600BDRJCG</t>
  </si>
  <si>
    <t>Rock AV Computer</t>
  </si>
  <si>
    <t>Macbook Pro</t>
  </si>
  <si>
    <t>C9C0Q91</t>
  </si>
  <si>
    <t>IT Desktop</t>
  </si>
  <si>
    <t>Optiplex GX 520</t>
  </si>
  <si>
    <t>Viewsonic Monitor, Dell Keyboard</t>
  </si>
  <si>
    <t>CND0150J4D</t>
  </si>
  <si>
    <t>HP EliteBook 8440p</t>
  </si>
  <si>
    <t>Notebook Workstation</t>
  </si>
  <si>
    <t>CND0210CC3</t>
  </si>
  <si>
    <t>CND0282691</t>
  </si>
  <si>
    <t>Asset Recycling</t>
  </si>
  <si>
    <t>Elitebook 8440p</t>
  </si>
  <si>
    <t xml:space="preserve">Wireless Kbd </t>
  </si>
  <si>
    <t>cnd0320gm1</t>
  </si>
  <si>
    <t>HP Laptop</t>
  </si>
  <si>
    <t>Sold to Connie Horosz 2/25/15</t>
  </si>
  <si>
    <t>CND03804H2</t>
  </si>
  <si>
    <t>HP NOTEBOOK</t>
  </si>
  <si>
    <t>HP Elitebook 8440P</t>
  </si>
  <si>
    <t>CND0390F9L</t>
  </si>
  <si>
    <t>Wireless Keyboard, Wireless Mouse, Dock, Extra Power Supply, Stand</t>
  </si>
  <si>
    <t>CND0390FK8</t>
  </si>
  <si>
    <t>CND0390KFT</t>
  </si>
  <si>
    <t>Mount, keyboard, mouse, dock, 2x power supply</t>
  </si>
  <si>
    <t>CND0420KSM</t>
  </si>
  <si>
    <t>hp</t>
  </si>
  <si>
    <t xml:space="preserve">hp Elitebook </t>
  </si>
  <si>
    <t>8440p</t>
  </si>
  <si>
    <t>SJ017UC#ABA</t>
  </si>
  <si>
    <t>dock - IT0145     monitor - IT0146</t>
  </si>
  <si>
    <t>CND050218K</t>
  </si>
  <si>
    <t>eBay retailer</t>
  </si>
  <si>
    <t>Stand, Wireless Keyboard and Mouse, Powersupply x 2</t>
  </si>
  <si>
    <t>CND1041NVG</t>
  </si>
  <si>
    <t>Docking station</t>
  </si>
  <si>
    <t>CND116465D</t>
  </si>
  <si>
    <t>CND119BQL1</t>
  </si>
  <si>
    <t>TigerDirect</t>
  </si>
  <si>
    <t>CND1222BMM</t>
  </si>
  <si>
    <t>AssetRecycling</t>
  </si>
  <si>
    <t>CND1222KVM</t>
  </si>
  <si>
    <t>Wireless Keyboard, Wireless Mouse, Dock, Extra Charger, Stand</t>
  </si>
  <si>
    <t>D25LP1QHF8J4R</t>
  </si>
  <si>
    <t>Desktop</t>
  </si>
  <si>
    <t xml:space="preserve">iMac </t>
  </si>
  <si>
    <t>Apple Wireless Keyboard / Magic Mouse</t>
  </si>
  <si>
    <t>DMQKXCNYF182</t>
  </si>
  <si>
    <t>Unknown - Purchased by Counseling Dept</t>
  </si>
  <si>
    <t>iPad</t>
  </si>
  <si>
    <t>Intern Shared iPad</t>
  </si>
  <si>
    <t>iPad Air</t>
  </si>
  <si>
    <t>E1633</t>
  </si>
  <si>
    <t>Lease from Unisource</t>
  </si>
  <si>
    <t>Konica Reef Copier</t>
  </si>
  <si>
    <t>Konica c554e Reef</t>
  </si>
  <si>
    <t>Konica Minolta</t>
  </si>
  <si>
    <t>Bizhub c554e</t>
  </si>
  <si>
    <t>A5AY011001644</t>
  </si>
  <si>
    <t>Reef Resource Room</t>
  </si>
  <si>
    <t>E1634</t>
  </si>
  <si>
    <t>Unisource</t>
  </si>
  <si>
    <t>Kyocera Taskalfa 3500i</t>
  </si>
  <si>
    <t>Kyocera Worship Arts Copier</t>
  </si>
  <si>
    <t>Kyocera</t>
  </si>
  <si>
    <t>Taskalfa 3500i</t>
  </si>
  <si>
    <t>N483614321-1102LL2US0</t>
  </si>
  <si>
    <t>Worship Arts Offices</t>
  </si>
  <si>
    <t>E1635</t>
  </si>
  <si>
    <t>Unisource Lease</t>
  </si>
  <si>
    <t>Konica Admin Copier</t>
  </si>
  <si>
    <t>Konica 554e Copier</t>
  </si>
  <si>
    <t>Bizhub C554E</t>
  </si>
  <si>
    <t>A3EPWYA001745</t>
  </si>
  <si>
    <t>E2751</t>
  </si>
  <si>
    <t>Duplo Docucutter cc228</t>
  </si>
  <si>
    <t>Card Cutter</t>
  </si>
  <si>
    <t>Duplo</t>
  </si>
  <si>
    <t>Docucutter CC-228</t>
  </si>
  <si>
    <t>881A011404841</t>
  </si>
  <si>
    <t>E2774</t>
  </si>
  <si>
    <t>Konica Bizhub Press c1070p</t>
  </si>
  <si>
    <t>Production Copier</t>
  </si>
  <si>
    <t>Bizhub Press c1070p</t>
  </si>
  <si>
    <t>A57P011000060</t>
  </si>
  <si>
    <t>F5RL10X6DFHW</t>
  </si>
  <si>
    <t xml:space="preserve">Impact iPad </t>
  </si>
  <si>
    <t>iPad 2</t>
  </si>
  <si>
    <t>F9FMV0AXFCM6</t>
  </si>
  <si>
    <t>iPad Mini</t>
  </si>
  <si>
    <t>Brian Phipps iPad Mini</t>
  </si>
  <si>
    <t>FVYKFC1</t>
  </si>
  <si>
    <t>Dell Latitude D820</t>
  </si>
  <si>
    <t>CN0JF240486436CD6010</t>
  </si>
  <si>
    <t>HJ84MF1</t>
  </si>
  <si>
    <t xml:space="preserve">Dell </t>
  </si>
  <si>
    <t>Latitude 830</t>
  </si>
  <si>
    <t>IT-I-11</t>
  </si>
  <si>
    <t>RFB MBAIR 0 serial</t>
  </si>
  <si>
    <t>C2QJXO2YFS6F</t>
  </si>
  <si>
    <t>IT Cubicle</t>
  </si>
  <si>
    <t>IT-I-12</t>
  </si>
  <si>
    <t>RFB IMAC - serial</t>
  </si>
  <si>
    <t>DCPK3BSYDHJF</t>
  </si>
  <si>
    <t>ROCK</t>
  </si>
  <si>
    <t>IT-I-15</t>
  </si>
  <si>
    <t xml:space="preserve">MBP 15.4 </t>
  </si>
  <si>
    <t>C02J51QFF1GA</t>
  </si>
  <si>
    <t>SW Extreme</t>
  </si>
  <si>
    <t>IT-I-17</t>
  </si>
  <si>
    <t>IMAC - serial</t>
  </si>
  <si>
    <t>D25J41BXDHJT</t>
  </si>
  <si>
    <t>LC Extreme</t>
  </si>
  <si>
    <t>IT-I-18</t>
  </si>
  <si>
    <t>MBP 15.4 serial</t>
  </si>
  <si>
    <t>C02HX3UXDKQ4</t>
  </si>
  <si>
    <t>Matt Adams</t>
  </si>
  <si>
    <t>IT-I-2</t>
  </si>
  <si>
    <t>MBP 15.4 - serial</t>
  </si>
  <si>
    <t>c02mg0qbfd58</t>
  </si>
  <si>
    <t>Jared Wells</t>
  </si>
  <si>
    <t>IT-I-22</t>
  </si>
  <si>
    <t>RFB MBP 15.4/2.0/2x2gb/500/sd/glsy-usa</t>
  </si>
  <si>
    <t>SW worship center</t>
  </si>
  <si>
    <t>IT-I-27</t>
  </si>
  <si>
    <t>Mac Pro</t>
  </si>
  <si>
    <t>Joe's computer</t>
  </si>
  <si>
    <t>IT-I-28</t>
  </si>
  <si>
    <t>Mac Mini CTO</t>
  </si>
  <si>
    <t>Scott Courtney</t>
  </si>
  <si>
    <t>IT-I-29</t>
  </si>
  <si>
    <t>LAT E6500, P8700</t>
  </si>
  <si>
    <t>AV</t>
  </si>
  <si>
    <t>IT-I-30</t>
  </si>
  <si>
    <t>MBP 17 / CTO</t>
  </si>
  <si>
    <t>SW Worship</t>
  </si>
  <si>
    <t>IT-I-31</t>
  </si>
  <si>
    <t>Macbook Pro 15"</t>
  </si>
  <si>
    <t>Reef IT Closet</t>
  </si>
  <si>
    <t>IT-I-35</t>
  </si>
  <si>
    <t>Precision 380</t>
  </si>
  <si>
    <t>Joe Webb</t>
  </si>
  <si>
    <t>IT-I-37</t>
  </si>
  <si>
    <t>Zuruz tech</t>
  </si>
  <si>
    <t>HP laptop elitebook 2540p - item</t>
  </si>
  <si>
    <t>LC</t>
  </si>
  <si>
    <t>IT-I-38</t>
  </si>
  <si>
    <t>atrcomputer.net</t>
  </si>
  <si>
    <t>HP EliteBook 2540p Windows 7 laptop</t>
  </si>
  <si>
    <t>WA</t>
  </si>
  <si>
    <t>IT-I-45</t>
  </si>
  <si>
    <t>tigerdirect.com</t>
  </si>
  <si>
    <t>HP 8440p Core i5 2.4/4/250/DVDRW W&amp;P 14 inch</t>
  </si>
  <si>
    <t>cnd0390k9g</t>
  </si>
  <si>
    <t>Unknown</t>
  </si>
  <si>
    <t>IT-I-47</t>
  </si>
  <si>
    <t>cnd0390733</t>
  </si>
  <si>
    <t>Worship Arts - LC</t>
  </si>
  <si>
    <t>IT-I-48</t>
  </si>
  <si>
    <t>CND03800BC</t>
  </si>
  <si>
    <t>OP</t>
  </si>
  <si>
    <t>IT-I-49</t>
  </si>
  <si>
    <t>cnd1166hnd</t>
  </si>
  <si>
    <t>IT-I-52</t>
  </si>
  <si>
    <t>Mac Mini - Christy</t>
  </si>
  <si>
    <t>IT-I-6</t>
  </si>
  <si>
    <t>MBAIR - serial</t>
  </si>
  <si>
    <t>C02KH1VXDRVG</t>
  </si>
  <si>
    <t>IT-I-63</t>
  </si>
  <si>
    <t>Latitude D810</t>
  </si>
  <si>
    <t>IT-I-64</t>
  </si>
  <si>
    <t>IPAD</t>
  </si>
  <si>
    <t>IT-I-65</t>
  </si>
  <si>
    <t>Rachel V.</t>
  </si>
  <si>
    <t>IT-I-66</t>
  </si>
  <si>
    <t>IT-I-67</t>
  </si>
  <si>
    <t>IT-I-68</t>
  </si>
  <si>
    <t>Ipad</t>
  </si>
  <si>
    <t>Not Used</t>
  </si>
  <si>
    <t>IT-I-69</t>
  </si>
  <si>
    <t>IT-I-7</t>
  </si>
  <si>
    <t>CO2KH1ZEDRVG</t>
  </si>
  <si>
    <t>Kim's computer</t>
  </si>
  <si>
    <t>IT-I-70</t>
  </si>
  <si>
    <t>IT-I-71</t>
  </si>
  <si>
    <t>Ipad wi-fi serial</t>
  </si>
  <si>
    <t>DYTHM8TXDVGL</t>
  </si>
  <si>
    <t>IT-I-8</t>
  </si>
  <si>
    <t>CO2KH1W3DRVG</t>
  </si>
  <si>
    <t>Shelly</t>
  </si>
  <si>
    <t>IT0001</t>
  </si>
  <si>
    <t>C02NVLC4G3QC</t>
  </si>
  <si>
    <t>HP Laser Printer - IT0076</t>
  </si>
  <si>
    <t>IT0003</t>
  </si>
  <si>
    <t>Adtran XIM</t>
  </si>
  <si>
    <t>1700473f1</t>
  </si>
  <si>
    <t>LBADTN1449AF387</t>
  </si>
  <si>
    <t>IT0004</t>
  </si>
  <si>
    <t>Lenovo ThinkCentre m93p</t>
  </si>
  <si>
    <t>IBM</t>
  </si>
  <si>
    <t>Lenovo ThinkCentre</t>
  </si>
  <si>
    <t>1S10AAA05204MJ00QMDJ</t>
  </si>
  <si>
    <t>Classroom</t>
  </si>
  <si>
    <t>IT0006</t>
  </si>
  <si>
    <t>CND0321GXF</t>
  </si>
  <si>
    <t>IT0007</t>
  </si>
  <si>
    <t>Stallard Technologies</t>
  </si>
  <si>
    <t>Dell Server</t>
  </si>
  <si>
    <t>Dell Enterprise Server</t>
  </si>
  <si>
    <t>PowerEdge R620</t>
  </si>
  <si>
    <t>3K1LQW1</t>
  </si>
  <si>
    <t>IT0009</t>
  </si>
  <si>
    <t>C02MG1NVG083</t>
  </si>
  <si>
    <t>Trackpad - IT0151, Keyboard - IT0091</t>
  </si>
  <si>
    <t>IT0013</t>
  </si>
  <si>
    <t>hp elitebook</t>
  </si>
  <si>
    <t>WJ683AW#ABA</t>
  </si>
  <si>
    <t>Hp dock - IT0134 Monitor- IT0016</t>
  </si>
  <si>
    <t>IT0014</t>
  </si>
  <si>
    <t>SK235UC#ABA</t>
  </si>
  <si>
    <t>CND1164S26</t>
  </si>
  <si>
    <t>Hp dock - IT0135 Monitor- IT0015</t>
  </si>
  <si>
    <t>IT0030</t>
  </si>
  <si>
    <t>eBay Retailer:  a-town3224</t>
  </si>
  <si>
    <t>Lenovo</t>
  </si>
  <si>
    <t>ThinkCentre m92p</t>
  </si>
  <si>
    <t>1S10AAA05204MJ00QMFW</t>
  </si>
  <si>
    <t>Dell Monitor - IT0125</t>
  </si>
  <si>
    <t>IT0031</t>
  </si>
  <si>
    <t>Apple Thunderbolt Display</t>
  </si>
  <si>
    <t>Thunderbolt Display</t>
  </si>
  <si>
    <t>C02KQ3P2F2GC</t>
  </si>
  <si>
    <t>IT0033</t>
  </si>
  <si>
    <t>hp Elitebook</t>
  </si>
  <si>
    <t>SJ017UC#B1L</t>
  </si>
  <si>
    <t>CND0371VRR</t>
  </si>
  <si>
    <t>monitor- IT0032 dock - IT0150 printer- IT0035</t>
  </si>
  <si>
    <t>IT0037</t>
  </si>
  <si>
    <t xml:space="preserve">WJ681AW#ABA </t>
  </si>
  <si>
    <t>CND1131B0H</t>
  </si>
  <si>
    <t>monitor- IT0036</t>
  </si>
  <si>
    <t>IT0038</t>
  </si>
  <si>
    <t xml:space="preserve">SJ782UP#ABA </t>
  </si>
  <si>
    <t>monitor- IT0149</t>
  </si>
  <si>
    <t>IT0041</t>
  </si>
  <si>
    <t>3S0648X54397O</t>
  </si>
  <si>
    <t>New Battery from Batteries Plus 10/11/13</t>
  </si>
  <si>
    <t>IT0042</t>
  </si>
  <si>
    <t xml:space="preserve">eBay Retailer -  teldealp </t>
  </si>
  <si>
    <t>Adtran 1638p Switch</t>
  </si>
  <si>
    <t>Adtran 1638P Switch</t>
  </si>
  <si>
    <t>Netvanta 1638P</t>
  </si>
  <si>
    <t>LBADTN1429AD689</t>
  </si>
  <si>
    <t>IT0043</t>
  </si>
  <si>
    <t>Adtran SFP Card</t>
  </si>
  <si>
    <t>Adtran SFP XIM</t>
  </si>
  <si>
    <t>1700473F1</t>
  </si>
  <si>
    <t>IT0044</t>
  </si>
  <si>
    <t xml:space="preserve">Adtran </t>
  </si>
  <si>
    <t>NetVanta 1600</t>
  </si>
  <si>
    <t>LBADTN1433aa044</t>
  </si>
  <si>
    <t>IT0045</t>
  </si>
  <si>
    <t>LBADTN1433AA034</t>
  </si>
  <si>
    <t>IT0046</t>
  </si>
  <si>
    <t>IT0047</t>
  </si>
  <si>
    <t>Adtran XIM Expansion Module</t>
  </si>
  <si>
    <t>LBADTN1204AC891</t>
  </si>
  <si>
    <t>IT0049</t>
  </si>
  <si>
    <t>LBADTN1429AD697</t>
  </si>
  <si>
    <t>IT0052</t>
  </si>
  <si>
    <t>CDW</t>
  </si>
  <si>
    <t>APC, 3000VA Battery Backup</t>
  </si>
  <si>
    <t>Jimmy Nickelsen</t>
  </si>
  <si>
    <t>IT0053</t>
  </si>
  <si>
    <t>IT0055</t>
  </si>
  <si>
    <t>ICE Systems</t>
  </si>
  <si>
    <t>Security Gateway</t>
  </si>
  <si>
    <t>Firewall</t>
  </si>
  <si>
    <t>ASG220</t>
  </si>
  <si>
    <t xml:space="preserve">A010252C6535F8A </t>
  </si>
  <si>
    <t>IT0056</t>
  </si>
  <si>
    <t>Allworx Phone System</t>
  </si>
  <si>
    <t>Allworx</t>
  </si>
  <si>
    <t>AW48x</t>
  </si>
  <si>
    <t>IT0057</t>
  </si>
  <si>
    <t>Proximity Wireless</t>
  </si>
  <si>
    <t>Enterasys WIFI System</t>
  </si>
  <si>
    <t>Wireless System: Controller w/ 12 Access Points Installed</t>
  </si>
  <si>
    <t xml:space="preserve">EWC-C25 </t>
  </si>
  <si>
    <t>IT0058</t>
  </si>
  <si>
    <t>Adtran Stacking Cable</t>
  </si>
  <si>
    <t>Adtran Stacking Cable 3'</t>
  </si>
  <si>
    <t>74547-0402</t>
  </si>
  <si>
    <t>LBADTN1433AH270</t>
  </si>
  <si>
    <t>IT0059</t>
  </si>
  <si>
    <t>Adtran Stacking Cable 1.5'</t>
  </si>
  <si>
    <t>74547-0410</t>
  </si>
  <si>
    <t>IT0060</t>
  </si>
  <si>
    <t>IT0064</t>
  </si>
  <si>
    <t>NetVanta 1638P</t>
  </si>
  <si>
    <t>LBADTN1133AA251</t>
  </si>
  <si>
    <t>IT0069</t>
  </si>
  <si>
    <t>Microcenter</t>
  </si>
  <si>
    <t>TP-Link Powerline Access Point</t>
  </si>
  <si>
    <t>Avenue of Life</t>
  </si>
  <si>
    <t>TP-Link</t>
  </si>
  <si>
    <t>TL-WPA281</t>
  </si>
  <si>
    <t>12B86600496</t>
  </si>
  <si>
    <t>Counseling Office</t>
  </si>
  <si>
    <t>IT0070</t>
  </si>
  <si>
    <t>HP 8440P</t>
  </si>
  <si>
    <t>CND10532MF</t>
  </si>
  <si>
    <t>IT0072</t>
  </si>
  <si>
    <t>Hummingbird Networks - eBay</t>
  </si>
  <si>
    <t>LBADTN1449AFF353</t>
  </si>
  <si>
    <t>IT0073</t>
  </si>
  <si>
    <t>Hummingbird Networks</t>
  </si>
  <si>
    <t>Adtran SFP Module</t>
  </si>
  <si>
    <t>LBADTN1449AF410</t>
  </si>
  <si>
    <t>IT0074</t>
  </si>
  <si>
    <t>SFP Module</t>
  </si>
  <si>
    <t>LBADTN1449AF393</t>
  </si>
  <si>
    <t>IT0078</t>
  </si>
  <si>
    <t>Zebra GX420d Wifi + LAN Label Printer</t>
  </si>
  <si>
    <t>Zebra Label Printer</t>
  </si>
  <si>
    <t>GX420d</t>
  </si>
  <si>
    <t>30J10150102</t>
  </si>
  <si>
    <t>IT0079</t>
  </si>
  <si>
    <t>Zebra GX410d  LAN</t>
  </si>
  <si>
    <t>30J104700701</t>
  </si>
  <si>
    <t>IT0080</t>
  </si>
  <si>
    <t>Zebra GX420d</t>
  </si>
  <si>
    <t>Zebra GX420d Wifi Printer</t>
  </si>
  <si>
    <t>30J09531758</t>
  </si>
  <si>
    <t>IT0081</t>
  </si>
  <si>
    <t>LBADTN1449AF643</t>
  </si>
  <si>
    <t>IT0082</t>
  </si>
  <si>
    <t>1S10AAA05204MJ00QMFB</t>
  </si>
  <si>
    <t>IT0083</t>
  </si>
  <si>
    <t>Cisco SG300-20</t>
  </si>
  <si>
    <t>Cisco Small Business Switch 20 Port</t>
  </si>
  <si>
    <t>Cisco</t>
  </si>
  <si>
    <t>SG300-20</t>
  </si>
  <si>
    <t>PSZ17401D2G</t>
  </si>
  <si>
    <t>IT0084</t>
  </si>
  <si>
    <t>LBADTN1330AA581</t>
  </si>
  <si>
    <t>East Loading Dock</t>
  </si>
  <si>
    <t>Apple Store Leawood</t>
  </si>
  <si>
    <t>C02p912kg3qn</t>
  </si>
  <si>
    <t>IT0086</t>
  </si>
  <si>
    <t>LBADTN1224AA296</t>
  </si>
  <si>
    <t>IT Closet (Expansion)</t>
  </si>
  <si>
    <t>IT0087</t>
  </si>
  <si>
    <t>MacBook Pro for Video Editing</t>
  </si>
  <si>
    <t>C02P7088G3QG</t>
  </si>
  <si>
    <t>Magic Keyboard, Magic Mouse</t>
  </si>
  <si>
    <t>IT0090</t>
  </si>
  <si>
    <t>Apple MacBook Pro 17" for Speedway Rock</t>
  </si>
  <si>
    <t>W800506Q8YB</t>
  </si>
  <si>
    <t>Case_x000D_
Charger</t>
  </si>
  <si>
    <t>IT0092</t>
  </si>
  <si>
    <t>Zebra Network Printer GX420D</t>
  </si>
  <si>
    <t>Zebra Network Printer</t>
  </si>
  <si>
    <t>IT0093</t>
  </si>
  <si>
    <t>CND030GM1</t>
  </si>
  <si>
    <t>Counseling</t>
  </si>
  <si>
    <t>IT0094</t>
  </si>
  <si>
    <t>Apple MacPro</t>
  </si>
  <si>
    <t>MacPro</t>
  </si>
  <si>
    <t xml:space="preserve">MacPro </t>
  </si>
  <si>
    <t>F5KPM0LEF9VN</t>
  </si>
  <si>
    <t>Wireless Keybd, Magic Mouse</t>
  </si>
  <si>
    <t>IT0095</t>
  </si>
  <si>
    <t>CDW Direct</t>
  </si>
  <si>
    <t>Apple Mac Mini - server</t>
  </si>
  <si>
    <t>IT0096</t>
  </si>
  <si>
    <t>C1MNH0PWG086</t>
  </si>
  <si>
    <t>IT0098</t>
  </si>
  <si>
    <t>Apple MacBook Pro 15" Laptop with Retina Display - MGXA2LL/A (Mid-2014)</t>
  </si>
  <si>
    <t>Speedway Worship MBP</t>
  </si>
  <si>
    <t>C02PF658G3QC</t>
  </si>
  <si>
    <t>IT0104</t>
  </si>
  <si>
    <t>Dell Latitude E6521</t>
  </si>
  <si>
    <t>E6521</t>
  </si>
  <si>
    <t>9VFM4R1</t>
  </si>
  <si>
    <t>IT0105</t>
  </si>
  <si>
    <t>C1MNH0NGG086</t>
  </si>
  <si>
    <t>IT0108</t>
  </si>
  <si>
    <t>ThinkPad W520 and 3 yr base warranty extension</t>
  </si>
  <si>
    <t>Dan Chaverin</t>
  </si>
  <si>
    <t>IT0111</t>
  </si>
  <si>
    <t>Apple MacBook Pro 17" for Speedway Extreme</t>
  </si>
  <si>
    <t>Apple MacBook Pro 17" Core 2 Duo</t>
  </si>
  <si>
    <t>W89481AG64C</t>
  </si>
  <si>
    <t>Samsung SSD - IT0110</t>
  </si>
  <si>
    <t>IT0113</t>
  </si>
  <si>
    <t>12B86600500</t>
  </si>
  <si>
    <t>IT0116</t>
  </si>
  <si>
    <t>Tablet</t>
  </si>
  <si>
    <t>Dell Venue 8 Pro</t>
  </si>
  <si>
    <t>B00FEE7B1I</t>
  </si>
  <si>
    <t>Micro to female USB, Hard Case</t>
  </si>
  <si>
    <t>IT0117</t>
  </si>
  <si>
    <t>12B86600502</t>
  </si>
  <si>
    <t>IT0119</t>
  </si>
  <si>
    <t>Equifund-ebay</t>
  </si>
  <si>
    <t>ZEBRA WIFI PRINTER</t>
  </si>
  <si>
    <t>GX420d (efc) wifi</t>
  </si>
  <si>
    <t>wifi</t>
  </si>
  <si>
    <t>30j124000323</t>
  </si>
  <si>
    <t>power supply</t>
  </si>
  <si>
    <t>IT0120</t>
  </si>
  <si>
    <t>30J124000337</t>
  </si>
  <si>
    <t>IT0121</t>
  </si>
  <si>
    <t>30J124700174</t>
  </si>
  <si>
    <t>IT0122</t>
  </si>
  <si>
    <t>Corporate Armor (Amazon.com retailer)</t>
  </si>
  <si>
    <t>Sophos RED10</t>
  </si>
  <si>
    <t>Sophos Remote Ethernet Device</t>
  </si>
  <si>
    <t>Sophos</t>
  </si>
  <si>
    <t>RED10</t>
  </si>
  <si>
    <t>001A8C84468F</t>
  </si>
  <si>
    <t>IT0126</t>
  </si>
  <si>
    <t xml:space="preserve">15' macbook pro </t>
  </si>
  <si>
    <t>A1398</t>
  </si>
  <si>
    <t xml:space="preserve">Trackpad - IT0127 Keyboard- IT0128 Stand - IT0129 </t>
  </si>
  <si>
    <t>IT0130</t>
  </si>
  <si>
    <t>Heartland Pawnbrokers</t>
  </si>
  <si>
    <t>HP EliteBook 8540p</t>
  </si>
  <si>
    <t>8540P</t>
  </si>
  <si>
    <t>CND102150X</t>
  </si>
  <si>
    <t>Jason MillsÂ’ Computer</t>
  </si>
  <si>
    <t>IT0132</t>
  </si>
  <si>
    <t>Apple Store Online</t>
  </si>
  <si>
    <t>C02MJ8USFD56</t>
  </si>
  <si>
    <t>Magic Mouse, thunderbolt gigabit adapter, hp printer - IT0133</t>
  </si>
  <si>
    <t>IT0136</t>
  </si>
  <si>
    <t xml:space="preserve">Dell inspirion </t>
  </si>
  <si>
    <t>P04F    001</t>
  </si>
  <si>
    <t>Keyboard and mouse - IT0137   monitor- IT0138   Printer - IT0077</t>
  </si>
  <si>
    <t>IT0139</t>
  </si>
  <si>
    <t>CND1111JR7</t>
  </si>
  <si>
    <t>dock - IT0140    monitor- IT0141</t>
  </si>
  <si>
    <t>IT0142</t>
  </si>
  <si>
    <t>SJ323UP#ABA</t>
  </si>
  <si>
    <t>CND10758RX</t>
  </si>
  <si>
    <t>dock - IT0143    monitor- IT0020</t>
  </si>
  <si>
    <t>IT0152</t>
  </si>
  <si>
    <t>Macbook pro</t>
  </si>
  <si>
    <t>Lyssa Kirwan</t>
  </si>
  <si>
    <t>IT0153</t>
  </si>
  <si>
    <t>Dell 4k Monitor</t>
  </si>
  <si>
    <t>dell</t>
  </si>
  <si>
    <t>IT0154</t>
  </si>
  <si>
    <t>Dell monitor</t>
  </si>
  <si>
    <t>Lisa Bouvier</t>
  </si>
  <si>
    <t>S2340Mc</t>
  </si>
  <si>
    <t>IT0155</t>
  </si>
  <si>
    <t>hp elitebook 8440p</t>
  </si>
  <si>
    <t>IT0156</t>
  </si>
  <si>
    <t>Dell laptop</t>
  </si>
  <si>
    <t>melissa harrington</t>
  </si>
  <si>
    <t>IT0157</t>
  </si>
  <si>
    <t>IT0158</t>
  </si>
  <si>
    <t>Hp laserjet printer</t>
  </si>
  <si>
    <t>catherine renfro</t>
  </si>
  <si>
    <t>P1102w</t>
  </si>
  <si>
    <t>IT0159</t>
  </si>
  <si>
    <t>ann hopkins</t>
  </si>
  <si>
    <t>monitor IT0161 ,  docking station IT0163</t>
  </si>
  <si>
    <t>IT0160</t>
  </si>
  <si>
    <t>barb bridges</t>
  </si>
  <si>
    <t>docking station IT0164</t>
  </si>
  <si>
    <t>IT0168</t>
  </si>
  <si>
    <t>MacBook Pro 13"</t>
  </si>
  <si>
    <t>MacBook Pro 13</t>
  </si>
  <si>
    <t>C02Q2MFEFVH5</t>
  </si>
  <si>
    <t>IT0167 - Apple Magic Mouse, IT0169 - Dell 24" Monitor, IT0176 - Apple Keyboard</t>
  </si>
  <si>
    <t>IT0171</t>
  </si>
  <si>
    <t>Reef2 printer</t>
  </si>
  <si>
    <t>zebra</t>
  </si>
  <si>
    <t>gx420d</t>
  </si>
  <si>
    <t>IT0172</t>
  </si>
  <si>
    <t>Reef8 printer</t>
  </si>
  <si>
    <t>IT0173</t>
  </si>
  <si>
    <t>HP Elitebook 8540p</t>
  </si>
  <si>
    <t>HP Elitebook</t>
  </si>
  <si>
    <t>Elitebook 8540P</t>
  </si>
  <si>
    <t>cnd047051d</t>
  </si>
  <si>
    <t>IT0174 - Docking Station &amp; Power Supply, IT0175-Acer S236HL 24" Monitor, HDMI Cable, Display to HDMI Adapter</t>
  </si>
  <si>
    <t>IT0177</t>
  </si>
  <si>
    <t>Dell Venue 11 Pro Tablet</t>
  </si>
  <si>
    <t>Dell Venue 11 Pro</t>
  </si>
  <si>
    <t>T07G</t>
  </si>
  <si>
    <t>ER0119122/13</t>
  </si>
  <si>
    <t>Keyboard - IT0178, Power Supply</t>
  </si>
  <si>
    <t>IT0180</t>
  </si>
  <si>
    <t>ST:23SP7Z1</t>
  </si>
  <si>
    <t>Docking Station - IT0181, Power Supply</t>
  </si>
  <si>
    <t>IT0182</t>
  </si>
  <si>
    <t>Tablet / Keyboard Combo - Kids Checkin</t>
  </si>
  <si>
    <t>ST:9FGP7Z1</t>
  </si>
  <si>
    <t>Docking Station IT0187, Keyboard - IT0183, Power Supply</t>
  </si>
  <si>
    <t>IT0184</t>
  </si>
  <si>
    <t>ST: CKRBR02</t>
  </si>
  <si>
    <t>Dock - IT0186 Keyboard - IT0185, Power Supply</t>
  </si>
  <si>
    <t>IT0196</t>
  </si>
  <si>
    <t>Cascade Assets</t>
  </si>
  <si>
    <t>HP EliteBook 8540p Laptop i5 item</t>
  </si>
  <si>
    <t>HP EliteBook 8540p Laptop i5</t>
  </si>
  <si>
    <t>HP8540p</t>
  </si>
  <si>
    <t>CND1222574</t>
  </si>
  <si>
    <t>Docking Station and Power Supply</t>
  </si>
  <si>
    <t>it0197</t>
  </si>
  <si>
    <t>HP EliteBook 8540p Laptop</t>
  </si>
  <si>
    <t>CND04711DQ</t>
  </si>
  <si>
    <t>IT0198</t>
  </si>
  <si>
    <t>30j114301337</t>
  </si>
  <si>
    <t>IT0201</t>
  </si>
  <si>
    <t>HP 8440p Core i5 2.4/4/250/DVDRW W&amp;P 14 injavascript:void(0)ch</t>
  </si>
  <si>
    <t>cnd025185m</t>
  </si>
  <si>
    <t>IT0202</t>
  </si>
  <si>
    <t>Apple MacBook Air</t>
  </si>
  <si>
    <t>MacBook Air, 13" 512gb, 8gb</t>
  </si>
  <si>
    <t>A1466</t>
  </si>
  <si>
    <t>c1mqm3fug944</t>
  </si>
  <si>
    <t>Magic Mouse 2</t>
  </si>
  <si>
    <t>IT0203</t>
  </si>
  <si>
    <t>IT0204</t>
  </si>
  <si>
    <t>MacBook Air 13", 512</t>
  </si>
  <si>
    <t>c1mqq4cbg944</t>
  </si>
  <si>
    <t>it0205</t>
  </si>
  <si>
    <t>Thunderbolt 2 Dock</t>
  </si>
  <si>
    <t>Docking Station</t>
  </si>
  <si>
    <t>Elgato</t>
  </si>
  <si>
    <t>IT0208</t>
  </si>
  <si>
    <t>C02J51PYF1G4</t>
  </si>
  <si>
    <t>SW Rock</t>
  </si>
  <si>
    <t>IT0210</t>
  </si>
  <si>
    <t>WalMart</t>
  </si>
  <si>
    <t>Apple iPad Mini 2 Wi-Fi</t>
  </si>
  <si>
    <t>ME279LL/A</t>
  </si>
  <si>
    <t>F9FQCWVYFCM8</t>
  </si>
  <si>
    <t>Power Supply and Lightning Cable</t>
  </si>
  <si>
    <t>F9FQCSBLFCM8</t>
  </si>
  <si>
    <t>IT0213</t>
  </si>
  <si>
    <t>Microsoft Store</t>
  </si>
  <si>
    <t>HP Spectre x360</t>
  </si>
  <si>
    <t>Spectre x360</t>
  </si>
  <si>
    <t>Mouse, USB 3.0 Ethernet - IT0302</t>
  </si>
  <si>
    <t>IT0214</t>
  </si>
  <si>
    <t>Surface Book</t>
  </si>
  <si>
    <t>Microsoft</t>
  </si>
  <si>
    <t>Docking Station - IT0334</t>
  </si>
  <si>
    <t>IT0302</t>
  </si>
  <si>
    <t>A1502</t>
  </si>
  <si>
    <t>c02qjep5fvh7</t>
  </si>
  <si>
    <t>Mouse - IT0301, Keyboard IT0303</t>
  </si>
  <si>
    <t>IT0303</t>
  </si>
  <si>
    <t xml:space="preserve">Notebook </t>
  </si>
  <si>
    <t xml:space="preserve">MacBook Air </t>
  </si>
  <si>
    <t>C02KH1W3DRVG</t>
  </si>
  <si>
    <t>Charger, Extra Charger, Mouse IT0211, Kbd IT0212, stand, dell 24" monitor, monitor stand</t>
  </si>
  <si>
    <t>IT0304</t>
  </si>
  <si>
    <t>iPad Mini 2</t>
  </si>
  <si>
    <t>iPad Mini 2 White</t>
  </si>
  <si>
    <t>DMPQFXF3FCM8</t>
  </si>
  <si>
    <t>Case,LightningCable,PowerSupply,HeadphoneExtension</t>
  </si>
  <si>
    <t>IT0307</t>
  </si>
  <si>
    <t>Mac External DVD Drive</t>
  </si>
  <si>
    <t>A1379</t>
  </si>
  <si>
    <t>IT0310</t>
  </si>
  <si>
    <t>IT0311</t>
  </si>
  <si>
    <t>C1MR505wg943</t>
  </si>
  <si>
    <t>IT0313</t>
  </si>
  <si>
    <t>C1MR505WG943</t>
  </si>
  <si>
    <t>c1mr5060g943</t>
  </si>
  <si>
    <t>IT0317</t>
  </si>
  <si>
    <t>www.apple.com</t>
  </si>
  <si>
    <t>West Kiosk iPad</t>
  </si>
  <si>
    <t>iPad Mini 16gb</t>
  </si>
  <si>
    <t>DN6HRAPCDPHW</t>
  </si>
  <si>
    <t>Mount and Charger</t>
  </si>
  <si>
    <t>IT0318</t>
  </si>
  <si>
    <t>West Kiosk 2</t>
  </si>
  <si>
    <t>DVPHR2RZDFHW</t>
  </si>
  <si>
    <t>Mount &amp; Charger</t>
  </si>
  <si>
    <t>IT0319</t>
  </si>
  <si>
    <t>West Kiosk 3</t>
  </si>
  <si>
    <t>DH6HRAPCDPHW</t>
  </si>
  <si>
    <t>Power cable &amp; mount</t>
  </si>
  <si>
    <t>IT0320</t>
  </si>
  <si>
    <t>West Kiosk Printer 1</t>
  </si>
  <si>
    <t>30j09230085</t>
  </si>
  <si>
    <t>Power cord</t>
  </si>
  <si>
    <t>IT0321</t>
  </si>
  <si>
    <t>West Kiosk Printer 2</t>
  </si>
  <si>
    <t>30J09130040</t>
  </si>
  <si>
    <t>POWER CORD</t>
  </si>
  <si>
    <t>IT0322</t>
  </si>
  <si>
    <t>West Kiosk Printer 3</t>
  </si>
  <si>
    <t>30J09240117</t>
  </si>
  <si>
    <t>IT0323</t>
  </si>
  <si>
    <t>East Kiosk 1</t>
  </si>
  <si>
    <t>Power Cord and Mount</t>
  </si>
  <si>
    <t>IT0324</t>
  </si>
  <si>
    <t>East Kiosk 2</t>
  </si>
  <si>
    <t>iPad 2 16gb</t>
  </si>
  <si>
    <t>IT0325</t>
  </si>
  <si>
    <t>East Kiosk 3</t>
  </si>
  <si>
    <t>IT0326</t>
  </si>
  <si>
    <t>East Kiosk Printer 1</t>
  </si>
  <si>
    <t>30J09240026</t>
  </si>
  <si>
    <t>POWERCORD</t>
  </si>
  <si>
    <t>IT0327</t>
  </si>
  <si>
    <t>East Kiosk Printer 2</t>
  </si>
  <si>
    <t>30J09240024</t>
  </si>
  <si>
    <t>IT0328</t>
  </si>
  <si>
    <t>East Kiosk Printer 3</t>
  </si>
  <si>
    <t>30J09240011</t>
  </si>
  <si>
    <t>IT0331</t>
  </si>
  <si>
    <t>Mac Mini</t>
  </si>
  <si>
    <t>Apple Mac Mini for Sound Board South</t>
  </si>
  <si>
    <t>South Venue</t>
  </si>
  <si>
    <t>Mouse &amp; Keyboard</t>
  </si>
  <si>
    <t>IT0332</t>
  </si>
  <si>
    <t>Vista South Mac Mini</t>
  </si>
  <si>
    <t>Mouse, Keyboard</t>
  </si>
  <si>
    <t>IT0335</t>
  </si>
  <si>
    <t>Walmart, Paola</t>
  </si>
  <si>
    <t>A1489</t>
  </si>
  <si>
    <t>F9FQCS1AFCM8</t>
  </si>
  <si>
    <t>Power Supply,</t>
  </si>
  <si>
    <t>IT0336</t>
  </si>
  <si>
    <t>Asus Volunteer Laptop</t>
  </si>
  <si>
    <t>Asus</t>
  </si>
  <si>
    <t>E420m</t>
  </si>
  <si>
    <t>IT0337</t>
  </si>
  <si>
    <t>IT0338</t>
  </si>
  <si>
    <t>iPad Pro</t>
  </si>
  <si>
    <t>A1673</t>
  </si>
  <si>
    <t>DLXRH0S3H1M9</t>
  </si>
  <si>
    <t>IT13</t>
  </si>
  <si>
    <t>MacPro 2.4</t>
  </si>
  <si>
    <t>IT20</t>
  </si>
  <si>
    <t>Dell Lat E6520</t>
  </si>
  <si>
    <t>Melissa Herrington</t>
  </si>
  <si>
    <t>IT21</t>
  </si>
  <si>
    <t>MBP 15.4/CTO serial</t>
  </si>
  <si>
    <t>c02h81tkdv7p</t>
  </si>
  <si>
    <t>Troy Kennedy</t>
  </si>
  <si>
    <t>IT23</t>
  </si>
  <si>
    <t>15 inch MacBook Pro</t>
  </si>
  <si>
    <t>c02h30qedv7n</t>
  </si>
  <si>
    <t>Brian P</t>
  </si>
  <si>
    <t>IT32</t>
  </si>
  <si>
    <t>DroboPro 8-Bay Firewire 800 iSCSI Storage Array</t>
  </si>
  <si>
    <t>Drobo</t>
  </si>
  <si>
    <t>DroboPro</t>
  </si>
  <si>
    <t>IT39</t>
  </si>
  <si>
    <t>Apple MBP 13.3</t>
  </si>
  <si>
    <t>IT53</t>
  </si>
  <si>
    <t>20" Cinema Display - Apple</t>
  </si>
  <si>
    <t>IT55</t>
  </si>
  <si>
    <t>Final Cut Studio</t>
  </si>
  <si>
    <t>IT58</t>
  </si>
  <si>
    <t>MacBook Pro 15"</t>
  </si>
  <si>
    <t>Lost</t>
  </si>
  <si>
    <t>IT9</t>
  </si>
  <si>
    <t>Dell Precision T1650</t>
  </si>
  <si>
    <t>Dell Precision T1650 - SERIAL</t>
  </si>
  <si>
    <t>? - 11cqtw1</t>
  </si>
  <si>
    <t>L99031221</t>
  </si>
  <si>
    <t>Digix Service - 1-800-821-2797</t>
  </si>
  <si>
    <t>Xerox Workcentre 4150</t>
  </si>
  <si>
    <t>Counseling Copy Machine</t>
  </si>
  <si>
    <t>Xerox</t>
  </si>
  <si>
    <t>Workcentre</t>
  </si>
  <si>
    <t>LBADTN1406AC719</t>
  </si>
  <si>
    <t>Adtran NetVanta 1531p</t>
  </si>
  <si>
    <t>Speedway Network Switch</t>
  </si>
  <si>
    <t>NetVanta 1531p</t>
  </si>
  <si>
    <t>Communications Closet</t>
  </si>
  <si>
    <t>MACBOOKAIR17</t>
  </si>
  <si>
    <t>MacBook Wireless Keyboard ($65)_x000D_
Logitech Wireless Mouse ($12)</t>
  </si>
  <si>
    <t>MACBOOKPRO1</t>
  </si>
  <si>
    <t>TS19AK19HVQ</t>
  </si>
  <si>
    <t xml:space="preserve">Clear Motorola 4G </t>
  </si>
  <si>
    <t>Wireless Internet Backup</t>
  </si>
  <si>
    <t>Motorola</t>
  </si>
  <si>
    <t>Clear</t>
  </si>
  <si>
    <t>TS19AK19HV</t>
  </si>
  <si>
    <t>WMC4M0435467</t>
  </si>
  <si>
    <t>EverFocus Security DVR</t>
  </si>
  <si>
    <t>EverFocus</t>
  </si>
  <si>
    <t>Paragon 264 x 4, 32 Channel</t>
  </si>
  <si>
    <t>1M5013340125</t>
  </si>
  <si>
    <t>Current_Dep_Mos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</si>
</sst>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0" fontId="18" fillId="0" borderId="0" xfId="0" applyFont="1" applyBorder="1"/>
    <xf numFmtId="0" fontId="18" fillId="0" borderId="0" xfId="0" applyFont="1" applyBorder="1" applyAlignment="1">
      <alignment horizontal="left"/>
    </xf>
    <xf numFmtId="14" fontId="18" fillId="0" borderId="0" xfId="0" applyNumberFormat="1" applyFont="1" applyBorder="1"/>
    <xf numFmtId="14" fontId="18" fillId="0" borderId="0" xfId="0" applyNumberFormat="1" applyFont="1" applyBorder="1" applyAlignment="1">
      <alignment horizontal="left"/>
    </xf>
    <xf numFmtId="0" fontId="18" fillId="0" borderId="0" xfId="0" applyFont="1" applyBorder="1" applyAlignment="1">
      <alignment horizontal="left" wrapText="1"/>
    </xf>
    <xf numFmtId="0" fontId="0" fillId="33" borderId="0" xfId="0" applyFill="1" applyAlignment="1">
      <alignment vertical="center"/>
    </xf>
    <xf numFmtId="0" fontId="18" fillId="0" borderId="0" xfId="0" applyFont="1" applyBorder="1" applyAlignment="1">
      <alignment horizontal="center"/>
    </xf>
    <xf numFmtId="0" fontId="0" fillId="33" borderId="0" xfId="0" applyFill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/>
    <xf numFmtId="0" fontId="0" fillId="33" borderId="0" xfId="0" applyFill="1" applyBorder="1" applyAlignment="1">
      <alignment vertical="center"/>
    </xf>
    <xf numFmtId="0" fontId="0" fillId="0" borderId="0" xfId="0" applyBorder="1"/>
    <xf numFmtId="0" fontId="17" fillId="33" borderId="0" xfId="0" applyFont="1" applyFill="1"/>
    <xf numFmtId="0" fontId="17" fillId="33" borderId="0" xfId="0" applyFont="1" applyFill="1" applyAlignment="1">
      <alignment vertical="center"/>
    </xf>
    <xf numFmtId="0" fontId="0" fillId="34" borderId="0" xfId="0" applyFill="1"/>
    <xf numFmtId="0" fontId="0" fillId="34" borderId="0" xfId="0" applyFill="1" applyAlignment="1">
      <alignment horizontal="left"/>
    </xf>
    <xf numFmtId="0" fontId="0" fillId="34" borderId="0" xfId="0" applyFill="1" applyBorder="1" applyAlignment="1">
      <alignment horizontal="left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69E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0.png"/><Relationship Id="rId3" Type="http://schemas.microsoft.com/office/2007/relationships/hdphoto" Target="../media/hdphoto1.wdp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#Settings!A1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hyperlink" Target="#Profile!A1"/><Relationship Id="rId9" Type="http://schemas.openxmlformats.org/officeDocument/2006/relationships/image" Target="../media/image6.png"/><Relationship Id="rId14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7" Type="http://schemas.microsoft.com/office/2007/relationships/hdphoto" Target="../media/hdphoto2.wdp"/><Relationship Id="rId2" Type="http://schemas.openxmlformats.org/officeDocument/2006/relationships/image" Target="../media/image1.png"/><Relationship Id="rId1" Type="http://schemas.openxmlformats.org/officeDocument/2006/relationships/hyperlink" Target="#Settings!A1"/><Relationship Id="rId6" Type="http://schemas.openxmlformats.org/officeDocument/2006/relationships/image" Target="../media/image13.png"/><Relationship Id="rId5" Type="http://schemas.openxmlformats.org/officeDocument/2006/relationships/image" Target="../media/image2.png"/><Relationship Id="rId4" Type="http://schemas.openxmlformats.org/officeDocument/2006/relationships/hyperlink" Target="#Profil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174124</xdr:colOff>
      <xdr:row>19</xdr:row>
      <xdr:rowOff>37538</xdr:rowOff>
    </xdr:from>
    <xdr:to>
      <xdr:col>1</xdr:col>
      <xdr:colOff>0</xdr:colOff>
      <xdr:row>23</xdr:row>
      <xdr:rowOff>131947</xdr:rowOff>
    </xdr:to>
    <xdr:sp macro="[0]!Asset_Nav_Visible" textlink="">
      <xdr:nvSpPr>
        <xdr:cNvPr id="4" name="Personnel Info" descr="&quot;&quot;" title="Personnel Info Navigation Button">
          <a:extLst>
            <a:ext uri="{FF2B5EF4-FFF2-40B4-BE49-F238E27FC236}">
              <a16:creationId xmlns:a16="http://schemas.microsoft.com/office/drawing/2014/main" id="{17F5F9E0-F935-4F42-BCAA-FE2A3E5276D3}"/>
            </a:ext>
          </a:extLst>
        </xdr:cNvPr>
        <xdr:cNvSpPr/>
      </xdr:nvSpPr>
      <xdr:spPr>
        <a:xfrm rot="16200000">
          <a:off x="-38927" y="3516303"/>
          <a:ext cx="842115" cy="416013"/>
        </a:xfrm>
        <a:prstGeom prst="round2SameRect">
          <a:avLst/>
        </a:prstGeom>
        <a:solidFill>
          <a:srgbClr val="69E2E5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chemeClr val="tx1">
                  <a:lumMod val="75000"/>
                  <a:lumOff val="25000"/>
                </a:schemeClr>
              </a:solidFill>
              <a:latin typeface="+mj-lt"/>
            </a:rPr>
            <a:t>Asset</a:t>
          </a:r>
        </a:p>
      </xdr:txBody>
    </xdr:sp>
    <xdr:clientData fPrintsWithSheet="0"/>
  </xdr:twoCellAnchor>
  <xdr:twoCellAnchor editAs="absolute">
    <xdr:from>
      <xdr:col>0</xdr:col>
      <xdr:colOff>174172</xdr:colOff>
      <xdr:row>14</xdr:row>
      <xdr:rowOff>60475</xdr:rowOff>
    </xdr:from>
    <xdr:to>
      <xdr:col>1</xdr:col>
      <xdr:colOff>10994</xdr:colOff>
      <xdr:row>18</xdr:row>
      <xdr:rowOff>161302</xdr:rowOff>
    </xdr:to>
    <xdr:sp macro="[0]!View_Nav_Visible" textlink="">
      <xdr:nvSpPr>
        <xdr:cNvPr id="6" name="Course List" descr="&quot;&quot;" title="Course List Navigation Button">
          <a:extLst>
            <a:ext uri="{FF2B5EF4-FFF2-40B4-BE49-F238E27FC236}">
              <a16:creationId xmlns:a16="http://schemas.microsoft.com/office/drawing/2014/main" id="{9941E168-F3BD-4092-8AEF-766B26DC186F}"/>
            </a:ext>
          </a:extLst>
        </xdr:cNvPr>
        <xdr:cNvSpPr/>
      </xdr:nvSpPr>
      <xdr:spPr>
        <a:xfrm rot="16200000">
          <a:off x="-37549" y="2603278"/>
          <a:ext cx="848533" cy="425091"/>
        </a:xfrm>
        <a:prstGeom prst="round2SameRect">
          <a:avLst/>
        </a:prstGeom>
        <a:solidFill>
          <a:srgbClr val="92D05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tx1">
                  <a:lumMod val="75000"/>
                  <a:lumOff val="25000"/>
                </a:schemeClr>
              </a:solidFill>
              <a:latin typeface="+mj-lt"/>
            </a:rPr>
            <a:t>Views</a:t>
          </a:r>
        </a:p>
      </xdr:txBody>
    </xdr:sp>
    <xdr:clientData fPrintsWithSheet="0"/>
  </xdr:twoCellAnchor>
  <xdr:twoCellAnchor editAs="absolute">
    <xdr:from>
      <xdr:col>0</xdr:col>
      <xdr:colOff>130628</xdr:colOff>
      <xdr:row>31</xdr:row>
      <xdr:rowOff>92581</xdr:rowOff>
    </xdr:from>
    <xdr:to>
      <xdr:col>0</xdr:col>
      <xdr:colOff>506185</xdr:colOff>
      <xdr:row>33</xdr:row>
      <xdr:rowOff>98023</xdr:rowOff>
    </xdr:to>
    <xdr:pic>
      <xdr:nvPicPr>
        <xdr:cNvPr id="7" name="Picture 6" descr="Image result for settings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D96233-FAE0-41CD-BB1E-B4D60BDA3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24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28" y="5921826"/>
          <a:ext cx="375557" cy="3755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0</xdr:col>
      <xdr:colOff>38102</xdr:colOff>
      <xdr:row>35</xdr:row>
      <xdr:rowOff>12674</xdr:rowOff>
    </xdr:from>
    <xdr:to>
      <xdr:col>0</xdr:col>
      <xdr:colOff>582388</xdr:colOff>
      <xdr:row>38</xdr:row>
      <xdr:rowOff>54481</xdr:rowOff>
    </xdr:to>
    <xdr:pic>
      <xdr:nvPicPr>
        <xdr:cNvPr id="9" name="Picture 8" descr="Image result for people ico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3DE4026-337F-4363-8E5C-F4627CFF20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2" y="6397090"/>
          <a:ext cx="544286" cy="411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22</xdr:col>
      <xdr:colOff>857661</xdr:colOff>
      <xdr:row>0</xdr:row>
      <xdr:rowOff>115111</xdr:rowOff>
    </xdr:from>
    <xdr:to>
      <xdr:col>23</xdr:col>
      <xdr:colOff>483808</xdr:colOff>
      <xdr:row>3</xdr:row>
      <xdr:rowOff>185552</xdr:rowOff>
    </xdr:to>
    <xdr:pic macro="[0]!No_Color_Row">
      <xdr:nvPicPr>
        <xdr:cNvPr id="24" name="Asset_Checkmark" descr="Image result for checkmark icon orange" hidden="1">
          <a:extLst>
            <a:ext uri="{FF2B5EF4-FFF2-40B4-BE49-F238E27FC236}">
              <a16:creationId xmlns:a16="http://schemas.microsoft.com/office/drawing/2014/main" id="{73F1E8B8-DF55-4785-B177-50E89F965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8224" y="115111"/>
          <a:ext cx="527792" cy="532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0</xdr:col>
      <xdr:colOff>200075</xdr:colOff>
      <xdr:row>14</xdr:row>
      <xdr:rowOff>93466</xdr:rowOff>
    </xdr:from>
    <xdr:to>
      <xdr:col>2</xdr:col>
      <xdr:colOff>357361</xdr:colOff>
      <xdr:row>29</xdr:row>
      <xdr:rowOff>175933</xdr:rowOff>
    </xdr:to>
    <xdr:grpSp>
      <xdr:nvGrpSpPr>
        <xdr:cNvPr id="51" name="Asset_Nav" hidden="1">
          <a:extLst>
            <a:ext uri="{FF2B5EF4-FFF2-40B4-BE49-F238E27FC236}">
              <a16:creationId xmlns:a16="http://schemas.microsoft.com/office/drawing/2014/main" id="{71666941-C0DF-4AA0-901E-9F6190D1AEB6}"/>
            </a:ext>
          </a:extLst>
        </xdr:cNvPr>
        <xdr:cNvGrpSpPr/>
      </xdr:nvGrpSpPr>
      <xdr:grpSpPr>
        <a:xfrm>
          <a:off x="200075" y="2424548"/>
          <a:ext cx="1372307" cy="2886364"/>
          <a:chOff x="194577" y="2413552"/>
          <a:chExt cx="1372307" cy="2886363"/>
        </a:xfrm>
      </xdr:grpSpPr>
      <xdr:grpSp>
        <xdr:nvGrpSpPr>
          <xdr:cNvPr id="11" name="Group 50" hidden="1">
            <a:extLst>
              <a:ext uri="{FF2B5EF4-FFF2-40B4-BE49-F238E27FC236}">
                <a16:creationId xmlns:a16="http://schemas.microsoft.com/office/drawing/2014/main" id="{4B1441CA-BA87-47D3-9A92-03187596DA26}"/>
              </a:ext>
            </a:extLst>
          </xdr:cNvPr>
          <xdr:cNvGrpSpPr/>
        </xdr:nvGrpSpPr>
        <xdr:grpSpPr>
          <a:xfrm>
            <a:off x="643249" y="2413552"/>
            <a:ext cx="923635" cy="2886363"/>
            <a:chOff x="654244" y="3122772"/>
            <a:chExt cx="923635" cy="2886363"/>
          </a:xfrm>
        </xdr:grpSpPr>
        <xdr:sp macro="" textlink="">
          <xdr:nvSpPr>
            <xdr:cNvPr id="8" name="Rectangle: Rounded Corners 7" hidden="1">
              <a:extLst>
                <a:ext uri="{FF2B5EF4-FFF2-40B4-BE49-F238E27FC236}">
                  <a16:creationId xmlns:a16="http://schemas.microsoft.com/office/drawing/2014/main" id="{65044E0C-53DD-4E74-94FC-7E6F56E25E04}"/>
                </a:ext>
              </a:extLst>
            </xdr:cNvPr>
            <xdr:cNvSpPr/>
          </xdr:nvSpPr>
          <xdr:spPr>
            <a:xfrm>
              <a:off x="654244" y="3122772"/>
              <a:ext cx="923635" cy="2886363"/>
            </a:xfrm>
            <a:prstGeom prst="roundRect">
              <a:avLst>
                <a:gd name="adj" fmla="val 13761"/>
              </a:avLst>
            </a:prstGeom>
            <a:solidFill>
              <a:schemeClr val="bg1"/>
            </a:solidFill>
            <a:ln w="101600">
              <a:solidFill>
                <a:srgbClr val="69E2E5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New_Row">
          <xdr:nvPicPr>
            <xdr:cNvPr id="20" name="Picture 19" descr="Image result for plus icon" hidden="1">
              <a:extLst>
                <a:ext uri="{FF2B5EF4-FFF2-40B4-BE49-F238E27FC236}">
                  <a16:creationId xmlns:a16="http://schemas.microsoft.com/office/drawing/2014/main" id="{B0D23499-BAAF-4965-97C9-FAF41BE27BC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92729" y="3166755"/>
              <a:ext cx="735432" cy="74220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0" name="TextBox 9" hidden="1">
              <a:extLst>
                <a:ext uri="{FF2B5EF4-FFF2-40B4-BE49-F238E27FC236}">
                  <a16:creationId xmlns:a16="http://schemas.microsoft.com/office/drawing/2014/main" id="{1BED2094-EB4D-463A-A6DE-349CD856C389}"/>
                </a:ext>
              </a:extLst>
            </xdr:cNvPr>
            <xdr:cNvSpPr txBox="1"/>
          </xdr:nvSpPr>
          <xdr:spPr>
            <a:xfrm>
              <a:off x="758706" y="3788010"/>
              <a:ext cx="736707" cy="24190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add new</a:t>
              </a:r>
            </a:p>
          </xdr:txBody>
        </xdr:sp>
        <xdr:sp macro="" textlink="">
          <xdr:nvSpPr>
            <xdr:cNvPr id="18" name="TextBox 17" hidden="1">
              <a:extLst>
                <a:ext uri="{FF2B5EF4-FFF2-40B4-BE49-F238E27FC236}">
                  <a16:creationId xmlns:a16="http://schemas.microsoft.com/office/drawing/2014/main" id="{3E24F75B-2D4D-4B8C-AD08-6A1BC56A4D39}"/>
                </a:ext>
              </a:extLst>
            </xdr:cNvPr>
            <xdr:cNvSpPr txBox="1"/>
          </xdr:nvSpPr>
          <xdr:spPr>
            <a:xfrm>
              <a:off x="791694" y="4722643"/>
              <a:ext cx="736707" cy="24190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remove</a:t>
              </a:r>
            </a:p>
          </xdr:txBody>
        </xdr:sp>
        <xdr:pic macro="[0]!Asset_Nav_Hide">
          <xdr:nvPicPr>
            <xdr:cNvPr id="21" name="Picture 20" descr="Image result for minus icon" hidden="1">
              <a:extLst>
                <a:ext uri="{FF2B5EF4-FFF2-40B4-BE49-F238E27FC236}">
                  <a16:creationId xmlns:a16="http://schemas.microsoft.com/office/drawing/2014/main" id="{7CC90290-87D5-4B27-82DF-86349CDF782E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02689" y="4183663"/>
              <a:ext cx="599264" cy="60462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 macro="[0]!Asset_Nav_Hide">
          <xdr:nvPicPr>
            <xdr:cNvPr id="22" name="Picture 21" descr="Image result for copy icon" hidden="1">
              <a:extLst>
                <a:ext uri="{FF2B5EF4-FFF2-40B4-BE49-F238E27FC236}">
                  <a16:creationId xmlns:a16="http://schemas.microsoft.com/office/drawing/2014/main" id="{4B96529D-5492-4135-A361-BB1BC0B77E9A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4677" y="5080344"/>
              <a:ext cx="516796" cy="52141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3" name="TextBox 22" hidden="1">
              <a:extLst>
                <a:ext uri="{FF2B5EF4-FFF2-40B4-BE49-F238E27FC236}">
                  <a16:creationId xmlns:a16="http://schemas.microsoft.com/office/drawing/2014/main" id="{C5079359-C086-4DEA-AB8E-6F1B97FA13CA}"/>
                </a:ext>
              </a:extLst>
            </xdr:cNvPr>
            <xdr:cNvSpPr txBox="1"/>
          </xdr:nvSpPr>
          <xdr:spPr>
            <a:xfrm>
              <a:off x="703724" y="5536322"/>
              <a:ext cx="736707" cy="2419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duplicate</a:t>
              </a:r>
            </a:p>
          </xdr:txBody>
        </xdr:sp>
      </xdr:grpSp>
      <xdr:sp macro="[0]!Navs_Hide" textlink="">
        <xdr:nvSpPr>
          <xdr:cNvPr id="49" name="Personnel Info" descr="&quot;&quot;" hidden="1" title="Personnel Info Navigation Button">
            <a:extLst>
              <a:ext uri="{FF2B5EF4-FFF2-40B4-BE49-F238E27FC236}">
                <a16:creationId xmlns:a16="http://schemas.microsoft.com/office/drawing/2014/main" id="{55CF157C-8871-4468-BDC7-AB1FDDC8158C}"/>
              </a:ext>
            </a:extLst>
          </xdr:cNvPr>
          <xdr:cNvSpPr/>
        </xdr:nvSpPr>
        <xdr:spPr>
          <a:xfrm rot="16200000">
            <a:off x="-19408" y="3510200"/>
            <a:ext cx="842115" cy="414145"/>
          </a:xfrm>
          <a:prstGeom prst="round2SameRect">
            <a:avLst/>
          </a:prstGeom>
          <a:solidFill>
            <a:srgbClr val="69E2E5"/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500" b="1">
                <a:solidFill>
                  <a:schemeClr val="tx1">
                    <a:lumMod val="75000"/>
                    <a:lumOff val="25000"/>
                  </a:schemeClr>
                </a:solidFill>
                <a:latin typeface="+mj-lt"/>
              </a:rPr>
              <a:t>Asset</a:t>
            </a:r>
          </a:p>
        </xdr:txBody>
      </xdr:sp>
    </xdr:grpSp>
    <xdr:clientData/>
  </xdr:twoCellAnchor>
  <xdr:twoCellAnchor editAs="absolute">
    <xdr:from>
      <xdr:col>0</xdr:col>
      <xdr:colOff>186927</xdr:colOff>
      <xdr:row>9</xdr:row>
      <xdr:rowOff>98961</xdr:rowOff>
    </xdr:from>
    <xdr:to>
      <xdr:col>2</xdr:col>
      <xdr:colOff>373854</xdr:colOff>
      <xdr:row>24</xdr:row>
      <xdr:rowOff>181429</xdr:rowOff>
    </xdr:to>
    <xdr:grpSp>
      <xdr:nvGrpSpPr>
        <xdr:cNvPr id="53" name="View_Nav" hidden="1">
          <a:extLst>
            <a:ext uri="{FF2B5EF4-FFF2-40B4-BE49-F238E27FC236}">
              <a16:creationId xmlns:a16="http://schemas.microsoft.com/office/drawing/2014/main" id="{8F432997-DC8D-4DED-ABBD-8E3BF3626ACA}"/>
            </a:ext>
          </a:extLst>
        </xdr:cNvPr>
        <xdr:cNvGrpSpPr/>
      </xdr:nvGrpSpPr>
      <xdr:grpSpPr>
        <a:xfrm>
          <a:off x="186927" y="1495412"/>
          <a:ext cx="1401948" cy="2886363"/>
          <a:chOff x="186927" y="1500909"/>
          <a:chExt cx="1401948" cy="2886363"/>
        </a:xfrm>
      </xdr:grpSpPr>
      <xdr:grpSp>
        <xdr:nvGrpSpPr>
          <xdr:cNvPr id="48" name="Group 51" hidden="1">
            <a:extLst>
              <a:ext uri="{FF2B5EF4-FFF2-40B4-BE49-F238E27FC236}">
                <a16:creationId xmlns:a16="http://schemas.microsoft.com/office/drawing/2014/main" id="{E1B84871-7DE2-4597-9655-678BB8B9925D}"/>
              </a:ext>
            </a:extLst>
          </xdr:cNvPr>
          <xdr:cNvGrpSpPr/>
        </xdr:nvGrpSpPr>
        <xdr:grpSpPr>
          <a:xfrm>
            <a:off x="643247" y="1500909"/>
            <a:ext cx="945628" cy="2886363"/>
            <a:chOff x="10440390" y="874156"/>
            <a:chExt cx="945628" cy="2886363"/>
          </a:xfrm>
        </xdr:grpSpPr>
        <xdr:sp macro="" textlink="">
          <xdr:nvSpPr>
            <xdr:cNvPr id="26" name="Rectangle: Rounded Corners 25" hidden="1">
              <a:extLst>
                <a:ext uri="{FF2B5EF4-FFF2-40B4-BE49-F238E27FC236}">
                  <a16:creationId xmlns:a16="http://schemas.microsoft.com/office/drawing/2014/main" id="{41B299A4-4E16-420F-B6C2-DD57C8872292}"/>
                </a:ext>
              </a:extLst>
            </xdr:cNvPr>
            <xdr:cNvSpPr/>
          </xdr:nvSpPr>
          <xdr:spPr>
            <a:xfrm>
              <a:off x="10440390" y="874156"/>
              <a:ext cx="923635" cy="2886363"/>
            </a:xfrm>
            <a:prstGeom prst="roundRect">
              <a:avLst>
                <a:gd name="adj" fmla="val 13761"/>
              </a:avLst>
            </a:prstGeom>
            <a:solidFill>
              <a:schemeClr val="bg1"/>
            </a:solidFill>
            <a:ln w="101600">
              <a:solidFill>
                <a:srgbClr val="92D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37" name="Group 36" hidden="1">
              <a:extLst>
                <a:ext uri="{FF2B5EF4-FFF2-40B4-BE49-F238E27FC236}">
                  <a16:creationId xmlns:a16="http://schemas.microsoft.com/office/drawing/2014/main" id="{0AEFF6A3-2FB6-4794-8A06-6C4A9DDB50C7}"/>
                </a:ext>
              </a:extLst>
            </xdr:cNvPr>
            <xdr:cNvGrpSpPr/>
          </xdr:nvGrpSpPr>
          <xdr:grpSpPr>
            <a:xfrm>
              <a:off x="10467876" y="2875366"/>
              <a:ext cx="918142" cy="808184"/>
              <a:chOff x="9544241" y="1011600"/>
              <a:chExt cx="918140" cy="808184"/>
            </a:xfrm>
          </xdr:grpSpPr>
          <xdr:pic macro="[0]!Depreciation_View">
            <xdr:nvPicPr>
              <xdr:cNvPr id="33" name="Picture 32" descr="Image result for devalue icon" hidden="1">
                <a:extLst>
                  <a:ext uri="{FF2B5EF4-FFF2-40B4-BE49-F238E27FC236}">
                    <a16:creationId xmlns:a16="http://schemas.microsoft.com/office/drawing/2014/main" id="{EE1D5B87-7093-4229-A458-EB30A7572831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0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700311" y="1011600"/>
                <a:ext cx="580750" cy="58178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sp macro="[0]!Depreciation_View" textlink="">
            <xdr:nvSpPr>
              <xdr:cNvPr id="34" name="TextBox 33" hidden="1">
                <a:extLst>
                  <a:ext uri="{FF2B5EF4-FFF2-40B4-BE49-F238E27FC236}">
                    <a16:creationId xmlns:a16="http://schemas.microsoft.com/office/drawing/2014/main" id="{9AB2100F-F435-4D04-88FE-5EE01EB96E29}"/>
                  </a:ext>
                </a:extLst>
              </xdr:cNvPr>
              <xdr:cNvSpPr txBox="1"/>
            </xdr:nvSpPr>
            <xdr:spPr>
              <a:xfrm>
                <a:off x="9544241" y="1588874"/>
                <a:ext cx="918140" cy="23091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/>
                  <a:t>depreciation</a:t>
                </a:r>
              </a:p>
            </xdr:txBody>
          </xdr:sp>
        </xdr:grpSp>
        <xdr:pic macro="[0]!Simple_View">
          <xdr:nvPicPr>
            <xdr:cNvPr id="38" name="Picture 37" descr="Image result for page icon" hidden="1">
              <a:extLst>
                <a:ext uri="{FF2B5EF4-FFF2-40B4-BE49-F238E27FC236}">
                  <a16:creationId xmlns:a16="http://schemas.microsoft.com/office/drawing/2014/main" id="{641D7713-94FE-44DD-92EB-BC3C769E244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611541" y="1017099"/>
              <a:ext cx="577048" cy="5821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 macro="[0]!Detail_View">
          <xdr:nvPicPr>
            <xdr:cNvPr id="43" name="Picture 42" descr="Image result for document icon" hidden="1">
              <a:extLst>
                <a:ext uri="{FF2B5EF4-FFF2-40B4-BE49-F238E27FC236}">
                  <a16:creationId xmlns:a16="http://schemas.microsoft.com/office/drawing/2014/main" id="{0A602D28-A628-4059-8009-44FFE677009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599824" y="1879004"/>
              <a:ext cx="638243" cy="64384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6" name="TextBox 45" hidden="1">
              <a:extLst>
                <a:ext uri="{FF2B5EF4-FFF2-40B4-BE49-F238E27FC236}">
                  <a16:creationId xmlns:a16="http://schemas.microsoft.com/office/drawing/2014/main" id="{A9515460-05F1-4939-859E-A62AC8AD62B4}"/>
                </a:ext>
              </a:extLst>
            </xdr:cNvPr>
            <xdr:cNvSpPr txBox="1"/>
          </xdr:nvSpPr>
          <xdr:spPr>
            <a:xfrm>
              <a:off x="10627314" y="2485021"/>
              <a:ext cx="566279" cy="2583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detail</a:t>
              </a:r>
            </a:p>
          </xdr:txBody>
        </xdr:sp>
        <xdr:sp macro="" textlink="">
          <xdr:nvSpPr>
            <xdr:cNvPr id="47" name="TextBox 46" hidden="1">
              <a:extLst>
                <a:ext uri="{FF2B5EF4-FFF2-40B4-BE49-F238E27FC236}">
                  <a16:creationId xmlns:a16="http://schemas.microsoft.com/office/drawing/2014/main" id="{7AD1F053-37FE-47AB-8D0C-6F4EFE196E28}"/>
                </a:ext>
              </a:extLst>
            </xdr:cNvPr>
            <xdr:cNvSpPr txBox="1"/>
          </xdr:nvSpPr>
          <xdr:spPr>
            <a:xfrm>
              <a:off x="10631274" y="1543352"/>
              <a:ext cx="566279" cy="2583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simple</a:t>
              </a:r>
            </a:p>
          </xdr:txBody>
        </xdr:sp>
      </xdr:grpSp>
      <xdr:sp macro="[0]!Navs_Hide" textlink="">
        <xdr:nvSpPr>
          <xdr:cNvPr id="52" name="Course List" descr="&quot;&quot;" hidden="1" title="Course List Navigation Button">
            <a:extLst>
              <a:ext uri="{FF2B5EF4-FFF2-40B4-BE49-F238E27FC236}">
                <a16:creationId xmlns:a16="http://schemas.microsoft.com/office/drawing/2014/main" id="{A8DB9B9B-7AE3-412D-B878-92B2C78E4DF2}"/>
              </a:ext>
            </a:extLst>
          </xdr:cNvPr>
          <xdr:cNvSpPr/>
        </xdr:nvSpPr>
        <xdr:spPr>
          <a:xfrm rot="16200000">
            <a:off x="-24794" y="2614275"/>
            <a:ext cx="848533" cy="425091"/>
          </a:xfrm>
          <a:prstGeom prst="round2SameRect">
            <a:avLst/>
          </a:prstGeom>
          <a:solidFill>
            <a:srgbClr val="92D050"/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500" b="1" baseline="0">
                <a:solidFill>
                  <a:schemeClr val="tx1">
                    <a:lumMod val="75000"/>
                    <a:lumOff val="25000"/>
                  </a:schemeClr>
                </a:solidFill>
                <a:latin typeface="+mj-lt"/>
              </a:rPr>
              <a:t>Views</a:t>
            </a:r>
          </a:p>
        </xdr:txBody>
      </xdr:sp>
    </xdr:grpSp>
    <xdr:clientData fPrintsWithSheet="0"/>
  </xdr:twoCellAnchor>
  <xdr:twoCellAnchor editAs="absolute">
    <xdr:from>
      <xdr:col>0</xdr:col>
      <xdr:colOff>175928</xdr:colOff>
      <xdr:row>9</xdr:row>
      <xdr:rowOff>82467</xdr:rowOff>
    </xdr:from>
    <xdr:to>
      <xdr:col>1</xdr:col>
      <xdr:colOff>0</xdr:colOff>
      <xdr:row>13</xdr:row>
      <xdr:rowOff>176878</xdr:rowOff>
    </xdr:to>
    <xdr:sp macro="[0]!Reports_Nav_Visible" textlink="">
      <xdr:nvSpPr>
        <xdr:cNvPr id="50" name="Personnel Info" descr="&quot;&quot;" title="Personnel Info Navigation Button">
          <a:extLst>
            <a:ext uri="{FF2B5EF4-FFF2-40B4-BE49-F238E27FC236}">
              <a16:creationId xmlns:a16="http://schemas.microsoft.com/office/drawing/2014/main" id="{2A9AD4B6-1C9E-4E2B-AE4B-AC56D7A816BC}"/>
            </a:ext>
          </a:extLst>
        </xdr:cNvPr>
        <xdr:cNvSpPr/>
      </xdr:nvSpPr>
      <xdr:spPr>
        <a:xfrm rot="16200000">
          <a:off x="-38057" y="1692903"/>
          <a:ext cx="842116" cy="414145"/>
        </a:xfrm>
        <a:prstGeom prst="round2SameRect">
          <a:avLst/>
        </a:prstGeom>
        <a:solidFill>
          <a:srgbClr val="FFC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chemeClr val="tx1">
                  <a:lumMod val="75000"/>
                  <a:lumOff val="25000"/>
                </a:schemeClr>
              </a:solidFill>
              <a:latin typeface="+mj-lt"/>
            </a:rPr>
            <a:t>Reports</a:t>
          </a:r>
        </a:p>
      </xdr:txBody>
    </xdr:sp>
    <xdr:clientData fPrintsWithSheet="0"/>
  </xdr:twoCellAnchor>
  <xdr:twoCellAnchor>
    <xdr:from>
      <xdr:col>0</xdr:col>
      <xdr:colOff>179888</xdr:colOff>
      <xdr:row>3</xdr:row>
      <xdr:rowOff>43981</xdr:rowOff>
    </xdr:from>
    <xdr:to>
      <xdr:col>2</xdr:col>
      <xdr:colOff>349710</xdr:colOff>
      <xdr:row>19</xdr:row>
      <xdr:rowOff>126448</xdr:rowOff>
    </xdr:to>
    <xdr:grpSp>
      <xdr:nvGrpSpPr>
        <xdr:cNvPr id="3" name="Reports_Nav" hidden="1">
          <a:extLst>
            <a:ext uri="{FF2B5EF4-FFF2-40B4-BE49-F238E27FC236}">
              <a16:creationId xmlns:a16="http://schemas.microsoft.com/office/drawing/2014/main" id="{9ED1FFA7-9041-4B38-95B2-D31D016541DB}"/>
            </a:ext>
          </a:extLst>
        </xdr:cNvPr>
        <xdr:cNvGrpSpPr/>
      </xdr:nvGrpSpPr>
      <xdr:grpSpPr>
        <a:xfrm>
          <a:off x="179888" y="505799"/>
          <a:ext cx="1384843" cy="2886363"/>
          <a:chOff x="12550018" y="1968224"/>
          <a:chExt cx="1384843" cy="2886363"/>
        </a:xfrm>
      </xdr:grpSpPr>
      <xdr:sp macro="" textlink="">
        <xdr:nvSpPr>
          <xdr:cNvPr id="35" name="Rectangle: Rounded Corners 34" hidden="1">
            <a:extLst>
              <a:ext uri="{FF2B5EF4-FFF2-40B4-BE49-F238E27FC236}">
                <a16:creationId xmlns:a16="http://schemas.microsoft.com/office/drawing/2014/main" id="{B6DB1E0E-A4CD-4568-83C4-E5B021F2AA64}"/>
              </a:ext>
            </a:extLst>
          </xdr:cNvPr>
          <xdr:cNvSpPr/>
        </xdr:nvSpPr>
        <xdr:spPr>
          <a:xfrm>
            <a:off x="13011226" y="1968224"/>
            <a:ext cx="923635" cy="2886363"/>
          </a:xfrm>
          <a:prstGeom prst="roundRect">
            <a:avLst>
              <a:gd name="adj" fmla="val 13761"/>
            </a:avLst>
          </a:prstGeom>
          <a:solidFill>
            <a:schemeClr val="bg1"/>
          </a:solidFill>
          <a:ln w="10160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TextBox 38" hidden="1">
            <a:extLst>
              <a:ext uri="{FF2B5EF4-FFF2-40B4-BE49-F238E27FC236}">
                <a16:creationId xmlns:a16="http://schemas.microsoft.com/office/drawing/2014/main" id="{31249FBD-E5A5-4AC1-BBDD-871B59B64F90}"/>
              </a:ext>
            </a:extLst>
          </xdr:cNvPr>
          <xdr:cNvSpPr txBox="1"/>
        </xdr:nvSpPr>
        <xdr:spPr>
          <a:xfrm>
            <a:off x="13060711" y="2550995"/>
            <a:ext cx="736707" cy="2419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staff tech</a:t>
            </a:r>
          </a:p>
        </xdr:txBody>
      </xdr:sp>
      <xdr:sp macro="" textlink="">
        <xdr:nvSpPr>
          <xdr:cNvPr id="40" name="TextBox 39" hidden="1">
            <a:extLst>
              <a:ext uri="{FF2B5EF4-FFF2-40B4-BE49-F238E27FC236}">
                <a16:creationId xmlns:a16="http://schemas.microsoft.com/office/drawing/2014/main" id="{3B613BDB-4200-4C71-961E-AF2766E7A992}"/>
              </a:ext>
            </a:extLst>
          </xdr:cNvPr>
          <xdr:cNvSpPr txBox="1"/>
        </xdr:nvSpPr>
        <xdr:spPr>
          <a:xfrm>
            <a:off x="13099195" y="3535108"/>
            <a:ext cx="736707" cy="2419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insurance</a:t>
            </a:r>
          </a:p>
        </xdr:txBody>
      </xdr:sp>
      <xdr:sp macro="" textlink="">
        <xdr:nvSpPr>
          <xdr:cNvPr id="44" name="TextBox 43" hidden="1">
            <a:extLst>
              <a:ext uri="{FF2B5EF4-FFF2-40B4-BE49-F238E27FC236}">
                <a16:creationId xmlns:a16="http://schemas.microsoft.com/office/drawing/2014/main" id="{CB201C49-5A81-4756-9F02-864505F24452}"/>
              </a:ext>
            </a:extLst>
          </xdr:cNvPr>
          <xdr:cNvSpPr txBox="1"/>
        </xdr:nvSpPr>
        <xdr:spPr>
          <a:xfrm>
            <a:off x="13029871" y="4519222"/>
            <a:ext cx="904989" cy="2693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depreciation</a:t>
            </a:r>
          </a:p>
        </xdr:txBody>
      </xdr:sp>
      <xdr:sp macro="[0]!Navs_Hide" textlink="">
        <xdr:nvSpPr>
          <xdr:cNvPr id="45" name="Personnel Info" descr="&quot;&quot;" hidden="1" title="Personnel Info Navigation Button">
            <a:extLst>
              <a:ext uri="{FF2B5EF4-FFF2-40B4-BE49-F238E27FC236}">
                <a16:creationId xmlns:a16="http://schemas.microsoft.com/office/drawing/2014/main" id="{01996500-E46E-4179-AC57-4A6EB477CF6A}"/>
              </a:ext>
            </a:extLst>
          </xdr:cNvPr>
          <xdr:cNvSpPr/>
        </xdr:nvSpPr>
        <xdr:spPr>
          <a:xfrm rot="16200000">
            <a:off x="12336034" y="3167792"/>
            <a:ext cx="842114" cy="414146"/>
          </a:xfrm>
          <a:prstGeom prst="round2SameRect">
            <a:avLst/>
          </a:prstGeom>
          <a:solidFill>
            <a:srgbClr val="FFC000"/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500" b="1">
                <a:solidFill>
                  <a:schemeClr val="tx1">
                    <a:lumMod val="75000"/>
                    <a:lumOff val="25000"/>
                  </a:schemeClr>
                </a:solidFill>
                <a:latin typeface="+mj-lt"/>
              </a:rPr>
              <a:t>Reports</a:t>
            </a:r>
          </a:p>
        </xdr:txBody>
      </xdr:sp>
      <xdr:pic>
        <xdr:nvPicPr>
          <xdr:cNvPr id="54" name="Picture 53" descr="Image result for person with computer icon" hidden="1">
            <a:extLst>
              <a:ext uri="{FF2B5EF4-FFF2-40B4-BE49-F238E27FC236}">
                <a16:creationId xmlns:a16="http://schemas.microsoft.com/office/drawing/2014/main" id="{CFFA651E-462C-4299-87B2-51E05090922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139828" y="2015293"/>
            <a:ext cx="736709" cy="60030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5" name="Picture 54" descr="Image result for insurance icon" hidden="1">
            <a:extLst>
              <a:ext uri="{FF2B5EF4-FFF2-40B4-BE49-F238E27FC236}">
                <a16:creationId xmlns:a16="http://schemas.microsoft.com/office/drawing/2014/main" id="{3234DF78-7C66-44EC-8EFA-42EB2C3197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189309" y="3034920"/>
            <a:ext cx="527791" cy="5323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Depreciation_View">
        <xdr:nvPicPr>
          <xdr:cNvPr id="65" name="Picture 64" descr="Image result for devalue icon" hidden="1">
            <a:extLst>
              <a:ext uri="{FF2B5EF4-FFF2-40B4-BE49-F238E27FC236}">
                <a16:creationId xmlns:a16="http://schemas.microsoft.com/office/drawing/2014/main" id="{CB497DBC-C35A-4DA1-BB31-C0B3136F4F4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163946" y="3991427"/>
            <a:ext cx="580751" cy="5817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5</xdr:row>
      <xdr:rowOff>43542</xdr:rowOff>
    </xdr:from>
    <xdr:to>
      <xdr:col>0</xdr:col>
      <xdr:colOff>800677</xdr:colOff>
      <xdr:row>7</xdr:row>
      <xdr:rowOff>173401</xdr:rowOff>
    </xdr:to>
    <xdr:pic>
      <xdr:nvPicPr>
        <xdr:cNvPr id="2" name="Picture 1" descr="Image result for lock icon">
          <a:extLst>
            <a:ext uri="{FF2B5EF4-FFF2-40B4-BE49-F238E27FC236}">
              <a16:creationId xmlns:a16="http://schemas.microsoft.com/office/drawing/2014/main" id="{0A6E6A4E-FCD6-4C39-94DD-6DDA281FD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968828"/>
          <a:ext cx="495877" cy="4999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130628</xdr:colOff>
      <xdr:row>31</xdr:row>
      <xdr:rowOff>87083</xdr:rowOff>
    </xdr:from>
    <xdr:to>
      <xdr:col>0</xdr:col>
      <xdr:colOff>506185</xdr:colOff>
      <xdr:row>33</xdr:row>
      <xdr:rowOff>92525</xdr:rowOff>
    </xdr:to>
    <xdr:pic>
      <xdr:nvPicPr>
        <xdr:cNvPr id="2" name="Picture 1" descr="Image result for settings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E65B5E-1AA5-4B3A-BB6D-828EC1CC3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24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28" y="5921826"/>
          <a:ext cx="375557" cy="3755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38102</xdr:colOff>
      <xdr:row>34</xdr:row>
      <xdr:rowOff>7176</xdr:rowOff>
    </xdr:from>
    <xdr:to>
      <xdr:col>0</xdr:col>
      <xdr:colOff>582388</xdr:colOff>
      <xdr:row>36</xdr:row>
      <xdr:rowOff>48985</xdr:rowOff>
    </xdr:to>
    <xdr:pic>
      <xdr:nvPicPr>
        <xdr:cNvPr id="3" name="Picture 2" descr="Image result for people ico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660C35-EC53-40DA-928D-35517ABB7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2" y="6397090"/>
          <a:ext cx="544286" cy="411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76201</xdr:colOff>
      <xdr:row>28</xdr:row>
      <xdr:rowOff>48988</xdr:rowOff>
    </xdr:from>
    <xdr:to>
      <xdr:col>0</xdr:col>
      <xdr:colOff>538843</xdr:colOff>
      <xdr:row>30</xdr:row>
      <xdr:rowOff>141516</xdr:rowOff>
    </xdr:to>
    <xdr:pic>
      <xdr:nvPicPr>
        <xdr:cNvPr id="4" name="Picture 3" descr="Image result for reports icon">
          <a:extLst>
            <a:ext uri="{FF2B5EF4-FFF2-40B4-BE49-F238E27FC236}">
              <a16:creationId xmlns:a16="http://schemas.microsoft.com/office/drawing/2014/main" id="{E5ECC67E-43EF-44F2-A7E9-7C345115C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colorTemperature colorTemp="1978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1" y="5328559"/>
          <a:ext cx="462642" cy="462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:Z735" totalsRowShown="0" headerRowDxfId="26" dataDxfId="25">
  <autoFilter ref="B1:Z735">
    <filterColumn colId="9">
      <filters blank="1">
        <filter val="15100 Land"/>
        <filter val="15110 Land - Leavenworth"/>
        <filter val="15150 Buildings"/>
        <filter val="15151 - Bldg Addition - Lenexa"/>
        <filter val="15151 Bldg - Leavenworth"/>
        <filter val="15200 Building Improvement"/>
        <filter val="15350 Vehicles"/>
        <filter val="15400 Equipment"/>
        <filter val="15450 Furniture"/>
      </filters>
    </filterColumn>
  </autoFilter>
  <tableColumns count="25">
    <tableColumn id="1" name="Asset_ID" dataDxfId="24"/>
    <tableColumn id="2" name="Date_Acq" dataDxfId="23"/>
    <tableColumn id="5" name="Vendor" dataDxfId="22"/>
    <tableColumn id="3" name="Name" dataDxfId="21"/>
    <tableColumn id="4" name="Description" dataDxfId="20"/>
    <tableColumn id="6" name="Original_Val" dataDxfId="19"/>
    <tableColumn id="7" name="Original_GL" dataDxfId="18"/>
    <tableColumn id="8" name="Status" dataDxfId="17"/>
    <tableColumn id="9" name="Dept" dataDxfId="16"/>
    <tableColumn id="10" name="Accounting Category" dataDxfId="15"/>
    <tableColumn id="11" name="Site" dataDxfId="14"/>
    <tableColumn id="20" name="Inactive_Date" dataDxfId="13"/>
    <tableColumn id="12" name="Brand" dataDxfId="12"/>
    <tableColumn id="13" name="Model" dataDxfId="11"/>
    <tableColumn id="14" name="Serial #" dataDxfId="10"/>
    <tableColumn id="15" name="Descriptive Location" dataDxfId="9"/>
    <tableColumn id="16" name="Service Lifecycle" dataDxfId="8"/>
    <tableColumn id="17" name="Accessories" dataDxfId="7"/>
    <tableColumn id="18" name="Service Agreement" dataDxfId="6"/>
    <tableColumn id="19" name="Service Agreement Expiration" dataDxfId="5"/>
    <tableColumn id="24" name="Meth/Life" dataDxfId="4"/>
    <tableColumn id="25" name="Annual_Dep" dataDxfId="3"/>
    <tableColumn id="27" name="Cur_Yr_Dep" dataDxfId="2"/>
    <tableColumn id="21" name="12/31/16_Dep" dataDxfId="1"/>
    <tableColumn id="26" name="Current_Dep_Mos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35"/>
  <sheetViews>
    <sheetView tabSelected="1" zoomScale="99"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ColWidth="8.84375" defaultRowHeight="14.6" x14ac:dyDescent="0.4"/>
  <cols>
    <col min="1" max="1" width="8.3046875" style="12" customWidth="1"/>
    <col min="2" max="2" width="8.84375" style="7" customWidth="1"/>
    <col min="3" max="3" width="7.3046875" style="2" customWidth="1"/>
    <col min="4" max="4" width="14.3046875" style="2" hidden="1" customWidth="1"/>
    <col min="5" max="5" width="17.61328125" style="2" customWidth="1"/>
    <col min="6" max="6" width="11.4609375" style="2" hidden="1" customWidth="1"/>
    <col min="7" max="7" width="14.15234375" style="1" customWidth="1"/>
    <col min="8" max="8" width="9.61328125" style="21" hidden="1" customWidth="1"/>
    <col min="9" max="9" width="9.61328125" style="21" customWidth="1"/>
    <col min="10" max="10" width="8.84375" style="2" hidden="1" customWidth="1"/>
    <col min="11" max="11" width="15.61328125" style="2" customWidth="1"/>
    <col min="12" max="12" width="12.765625" style="2" hidden="1" customWidth="1"/>
    <col min="13" max="13" width="12.765625" style="2" customWidth="1"/>
    <col min="14" max="14" width="11.23046875" style="2" hidden="1" customWidth="1"/>
    <col min="15" max="15" width="9.3828125" style="2" hidden="1" customWidth="1"/>
    <col min="16" max="16" width="11.84375" style="2" hidden="1" customWidth="1"/>
    <col min="17" max="17" width="9.84375" style="2" hidden="1" customWidth="1"/>
    <col min="18" max="18" width="16.07421875" style="2" hidden="1" customWidth="1"/>
    <col min="19" max="19" width="15.3046875" style="1" hidden="1" customWidth="1"/>
    <col min="20" max="20" width="14.4609375" style="2" hidden="1" customWidth="1"/>
    <col min="21" max="21" width="17.3046875" style="1" hidden="1" customWidth="1"/>
    <col min="22" max="22" width="11.15234375" style="13" customWidth="1"/>
    <col min="23" max="25" width="12.765625" style="2" customWidth="1"/>
    <col min="26" max="26" width="12.765625" style="2" hidden="1" customWidth="1"/>
    <col min="27" max="27" width="12.765625" style="18" customWidth="1"/>
    <col min="28" max="16384" width="8.84375" style="18"/>
  </cols>
  <sheetData>
    <row r="1" spans="1:32" s="23" customFormat="1" ht="21.45" x14ac:dyDescent="0.4">
      <c r="A1" s="8"/>
      <c r="B1" s="19" t="s">
        <v>20</v>
      </c>
      <c r="C1" s="19" t="s">
        <v>27</v>
      </c>
      <c r="D1" s="19" t="s">
        <v>15</v>
      </c>
      <c r="E1" s="19" t="s">
        <v>0</v>
      </c>
      <c r="F1" s="19" t="s">
        <v>1</v>
      </c>
      <c r="G1" s="19" t="s">
        <v>28</v>
      </c>
      <c r="H1" s="19" t="s">
        <v>32</v>
      </c>
      <c r="I1" s="19" t="s">
        <v>2</v>
      </c>
      <c r="J1" s="19" t="s">
        <v>14</v>
      </c>
      <c r="K1" s="19" t="s">
        <v>3</v>
      </c>
      <c r="L1" s="19" t="s">
        <v>4</v>
      </c>
      <c r="M1" s="19" t="s">
        <v>24</v>
      </c>
      <c r="N1" s="19" t="s">
        <v>5</v>
      </c>
      <c r="O1" s="19" t="s">
        <v>6</v>
      </c>
      <c r="P1" s="19" t="s">
        <v>7</v>
      </c>
      <c r="Q1" s="19" t="s">
        <v>8</v>
      </c>
      <c r="R1" s="22" t="s">
        <v>9</v>
      </c>
      <c r="S1" s="19" t="s">
        <v>10</v>
      </c>
      <c r="T1" s="22" t="s">
        <v>11</v>
      </c>
      <c r="U1" s="22" t="s">
        <v>12</v>
      </c>
      <c r="V1" s="19" t="s">
        <v>25</v>
      </c>
      <c r="W1" s="19" t="s">
        <v>26</v>
      </c>
      <c r="X1" s="19" t="s">
        <v>31</v>
      </c>
      <c r="Y1" s="19" t="s">
        <v>29</v>
      </c>
      <c r="Z1" s="22" t="s">
        <v>1646</v>
      </c>
    </row>
    <row r="2" spans="1:32" s="16" customFormat="1" x14ac:dyDescent="0.4">
      <c r="A2" s="8"/>
      <c r="B2" s="9"/>
      <c r="C2" s="10"/>
      <c r="D2" s="11"/>
      <c r="E2" s="11" t="s">
        <v>36</v>
      </c>
      <c r="F2" s="11" t="s">
        <v>37</v>
      </c>
      <c r="G2" s="11"/>
      <c r="H2" s="20"/>
      <c r="I2" s="20" t="s">
        <v>13</v>
      </c>
      <c r="J2" s="11" t="s">
        <v>38</v>
      </c>
      <c r="K2" s="11" t="s">
        <v>39</v>
      </c>
      <c r="L2" s="11"/>
      <c r="M2" s="11"/>
      <c r="N2" s="11" t="s">
        <v>40</v>
      </c>
      <c r="O2" s="11" t="s">
        <v>41</v>
      </c>
      <c r="P2" s="11" t="s">
        <v>42</v>
      </c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32" s="16" customFormat="1" hidden="1" x14ac:dyDescent="0.4">
      <c r="A3" s="6"/>
      <c r="B3" s="7"/>
      <c r="C3" s="2"/>
      <c r="D3" s="1" t="s">
        <v>43</v>
      </c>
      <c r="E3" s="1" t="s">
        <v>44</v>
      </c>
      <c r="F3" s="1" t="s">
        <v>44</v>
      </c>
      <c r="G3" s="1">
        <v>0</v>
      </c>
      <c r="H3" s="21">
        <v>2476</v>
      </c>
      <c r="I3" s="21" t="s">
        <v>13</v>
      </c>
      <c r="J3" s="1" t="s">
        <v>33</v>
      </c>
      <c r="K3" s="1" t="s">
        <v>34</v>
      </c>
      <c r="L3" s="1" t="s">
        <v>35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32" s="17" customFormat="1" x14ac:dyDescent="0.4">
      <c r="A4" s="6"/>
      <c r="B4" s="7"/>
      <c r="C4" s="2"/>
      <c r="D4" s="2"/>
      <c r="E4" s="2" t="s">
        <v>45</v>
      </c>
      <c r="F4" s="2"/>
      <c r="G4" s="2">
        <v>1500</v>
      </c>
      <c r="H4" s="21"/>
      <c r="I4" s="21" t="s">
        <v>13</v>
      </c>
      <c r="J4" s="2" t="s">
        <v>46</v>
      </c>
      <c r="K4" s="2" t="s">
        <v>39</v>
      </c>
      <c r="L4" s="2" t="s">
        <v>35</v>
      </c>
      <c r="M4" s="2"/>
      <c r="N4" s="2" t="s">
        <v>47</v>
      </c>
      <c r="O4" s="2" t="s">
        <v>48</v>
      </c>
      <c r="P4" s="2"/>
      <c r="Q4" s="2" t="s">
        <v>49</v>
      </c>
      <c r="R4" s="1"/>
      <c r="S4" s="2"/>
      <c r="T4" s="1"/>
      <c r="U4" s="1"/>
      <c r="V4" s="2"/>
      <c r="W4" s="2"/>
      <c r="X4" s="2"/>
      <c r="Y4" s="2"/>
      <c r="Z4" s="1"/>
    </row>
    <row r="5" spans="1:32" s="16" customFormat="1" hidden="1" x14ac:dyDescent="0.4">
      <c r="A5" s="6"/>
      <c r="B5" s="7"/>
      <c r="C5" s="2"/>
      <c r="D5" s="1"/>
      <c r="E5" s="1" t="s">
        <v>50</v>
      </c>
      <c r="F5" s="1"/>
      <c r="G5" s="1"/>
      <c r="H5" s="21"/>
      <c r="I5" s="21" t="s">
        <v>13</v>
      </c>
      <c r="J5" s="1" t="s">
        <v>38</v>
      </c>
      <c r="K5" s="1" t="s">
        <v>34</v>
      </c>
      <c r="L5" s="1" t="s">
        <v>51</v>
      </c>
      <c r="M5" s="1"/>
      <c r="N5" s="1" t="s">
        <v>52</v>
      </c>
      <c r="O5" s="1" t="s">
        <v>53</v>
      </c>
      <c r="P5" s="1"/>
      <c r="Q5" s="1"/>
      <c r="R5" s="1"/>
      <c r="S5" s="1"/>
      <c r="T5" s="1"/>
      <c r="U5" s="1"/>
      <c r="V5" s="1"/>
      <c r="W5" s="1"/>
      <c r="X5" s="1"/>
      <c r="Y5" s="1"/>
      <c r="Z5" s="1">
        <f ca="1">IF(Table1[[#This Row],[Inactive_Date]]="",DATEDIF(Table1[[#This Row],[Date_Acq]],TODAY(),"m"),DATEDIF(Table1[[#This Row],[Date_Acq]],Table1[[#This Row],[Inactive_Date]],"m"))</f>
        <v>1402</v>
      </c>
    </row>
    <row r="6" spans="1:32" s="16" customFormat="1" x14ac:dyDescent="0.4">
      <c r="A6" s="6"/>
      <c r="B6" s="7"/>
      <c r="C6" s="4">
        <v>35977</v>
      </c>
      <c r="D6" s="1"/>
      <c r="E6" s="1" t="s">
        <v>54</v>
      </c>
      <c r="F6" s="1" t="s">
        <v>54</v>
      </c>
      <c r="G6" s="1">
        <v>590</v>
      </c>
      <c r="H6" s="21">
        <v>0</v>
      </c>
      <c r="I6" s="21" t="s">
        <v>13</v>
      </c>
      <c r="J6" s="1" t="s">
        <v>55</v>
      </c>
      <c r="K6" s="1" t="s">
        <v>56</v>
      </c>
      <c r="L6" s="1" t="s">
        <v>35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>
        <f ca="1">IF(Table1[[#This Row],[Inactive_Date]]="",DATEDIF(Table1[[#This Row],[Date_Acq]],TODAY(),"m"),DATEDIF(Table1[[#This Row],[Date_Acq]],Table1[[#This Row],[Inactive_Date]],"m"))</f>
        <v>220</v>
      </c>
    </row>
    <row r="7" spans="1:32" s="16" customFormat="1" x14ac:dyDescent="0.4">
      <c r="A7" s="6"/>
      <c r="B7" s="7"/>
      <c r="C7" s="4">
        <v>36130</v>
      </c>
      <c r="D7" s="1"/>
      <c r="E7" s="1" t="s">
        <v>57</v>
      </c>
      <c r="F7" s="1" t="s">
        <v>57</v>
      </c>
      <c r="G7" s="1">
        <v>3786.24</v>
      </c>
      <c r="H7" s="21"/>
      <c r="I7" s="21" t="s">
        <v>13</v>
      </c>
      <c r="J7" s="1" t="s">
        <v>38</v>
      </c>
      <c r="K7" s="1" t="s">
        <v>56</v>
      </c>
      <c r="L7" s="1" t="s">
        <v>35</v>
      </c>
      <c r="M7" s="4">
        <v>37226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>
        <f ca="1">IF(Table1[[#This Row],[Inactive_Date]]="",DATEDIF(Table1[[#This Row],[Date_Acq]],TODAY(),"m"),DATEDIF(Table1[[#This Row],[Date_Acq]],Table1[[#This Row],[Inactive_Date]],"m"))</f>
        <v>36</v>
      </c>
    </row>
    <row r="8" spans="1:32" s="16" customFormat="1" x14ac:dyDescent="0.4">
      <c r="A8" s="6"/>
      <c r="B8" s="7"/>
      <c r="C8" s="4">
        <v>36161</v>
      </c>
      <c r="D8" s="1" t="s">
        <v>58</v>
      </c>
      <c r="E8" s="1" t="s">
        <v>59</v>
      </c>
      <c r="F8" s="1" t="s">
        <v>59</v>
      </c>
      <c r="G8" s="1">
        <v>1169.9000000000001</v>
      </c>
      <c r="H8" s="21"/>
      <c r="I8" s="21" t="s">
        <v>13</v>
      </c>
      <c r="J8" s="1" t="s">
        <v>55</v>
      </c>
      <c r="K8" s="1" t="s">
        <v>56</v>
      </c>
      <c r="L8" s="1" t="s">
        <v>35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>
        <f ca="1">IF(Table1[[#This Row],[Inactive_Date]]="",DATEDIF(Table1[[#This Row],[Date_Acq]],TODAY(),"m"),DATEDIF(Table1[[#This Row],[Date_Acq]],Table1[[#This Row],[Inactive_Date]],"m"))</f>
        <v>214</v>
      </c>
      <c r="AF8"/>
    </row>
    <row r="9" spans="1:32" s="16" customFormat="1" x14ac:dyDescent="0.4">
      <c r="A9" s="6"/>
      <c r="B9" s="7"/>
      <c r="C9" s="4">
        <v>36314</v>
      </c>
      <c r="D9" s="1" t="s">
        <v>60</v>
      </c>
      <c r="E9" s="1" t="s">
        <v>61</v>
      </c>
      <c r="F9" s="1" t="s">
        <v>61</v>
      </c>
      <c r="G9" s="1">
        <v>6900</v>
      </c>
      <c r="H9" s="21"/>
      <c r="I9" s="21" t="s">
        <v>13</v>
      </c>
      <c r="J9" s="1" t="s">
        <v>55</v>
      </c>
      <c r="K9" s="1" t="s">
        <v>56</v>
      </c>
      <c r="L9" s="1" t="s">
        <v>35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>
        <f ca="1">IF(Table1[[#This Row],[Inactive_Date]]="",DATEDIF(Table1[[#This Row],[Date_Acq]],TODAY(),"m"),DATEDIF(Table1[[#This Row],[Date_Acq]],Table1[[#This Row],[Inactive_Date]],"m"))</f>
        <v>209</v>
      </c>
    </row>
    <row r="10" spans="1:32" s="16" customFormat="1" x14ac:dyDescent="0.4">
      <c r="A10" s="6"/>
      <c r="B10" s="7"/>
      <c r="C10" s="4">
        <v>36465</v>
      </c>
      <c r="D10" s="1" t="s">
        <v>62</v>
      </c>
      <c r="E10" s="1" t="s">
        <v>63</v>
      </c>
      <c r="F10" s="1" t="s">
        <v>64</v>
      </c>
      <c r="G10" s="1">
        <v>1950</v>
      </c>
      <c r="H10" s="21"/>
      <c r="I10" s="21" t="s">
        <v>13</v>
      </c>
      <c r="J10" s="1" t="s">
        <v>65</v>
      </c>
      <c r="K10" s="1" t="s">
        <v>39</v>
      </c>
      <c r="L10" s="1" t="s">
        <v>35</v>
      </c>
      <c r="M10" s="1"/>
      <c r="N10" s="1" t="b">
        <v>1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>
        <f ca="1">IF(Table1[[#This Row],[Inactive_Date]]="",DATEDIF(Table1[[#This Row],[Date_Acq]],TODAY(),"m"),DATEDIF(Table1[[#This Row],[Date_Acq]],Table1[[#This Row],[Inactive_Date]],"m"))</f>
        <v>204</v>
      </c>
    </row>
    <row r="11" spans="1:32" s="16" customFormat="1" x14ac:dyDescent="0.4">
      <c r="A11" s="6"/>
      <c r="B11" s="7"/>
      <c r="C11" s="4">
        <v>36495</v>
      </c>
      <c r="D11" s="1" t="s">
        <v>66</v>
      </c>
      <c r="E11" s="1" t="s">
        <v>67</v>
      </c>
      <c r="F11" s="1" t="s">
        <v>67</v>
      </c>
      <c r="G11" s="1">
        <v>549.99</v>
      </c>
      <c r="H11" s="21"/>
      <c r="I11" s="21" t="s">
        <v>13</v>
      </c>
      <c r="J11" s="1" t="s">
        <v>33</v>
      </c>
      <c r="K11" s="1" t="s">
        <v>39</v>
      </c>
      <c r="L11" s="1" t="s">
        <v>35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>
        <f ca="1">IF(Table1[[#This Row],[Inactive_Date]]="",DATEDIF(Table1[[#This Row],[Date_Acq]],TODAY(),"m"),DATEDIF(Table1[[#This Row],[Date_Acq]],Table1[[#This Row],[Inactive_Date]],"m"))</f>
        <v>203</v>
      </c>
      <c r="AF11"/>
    </row>
    <row r="12" spans="1:32" s="16" customFormat="1" x14ac:dyDescent="0.4">
      <c r="A12" s="6"/>
      <c r="B12" s="7"/>
      <c r="C12" s="4">
        <v>36550</v>
      </c>
      <c r="D12" s="1" t="s">
        <v>68</v>
      </c>
      <c r="E12" s="1" t="s">
        <v>69</v>
      </c>
      <c r="F12" s="1" t="s">
        <v>69</v>
      </c>
      <c r="G12" s="1">
        <v>3015.9</v>
      </c>
      <c r="H12" s="21"/>
      <c r="I12" s="21" t="s">
        <v>13</v>
      </c>
      <c r="J12" s="1" t="s">
        <v>55</v>
      </c>
      <c r="K12" s="1" t="s">
        <v>39</v>
      </c>
      <c r="L12" s="1" t="s">
        <v>35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>
        <f ca="1">IF(Table1[[#This Row],[Inactive_Date]]="",DATEDIF(Table1[[#This Row],[Date_Acq]],TODAY(),"m"),DATEDIF(Table1[[#This Row],[Date_Acq]],Table1[[#This Row],[Inactive_Date]],"m"))</f>
        <v>201</v>
      </c>
    </row>
    <row r="13" spans="1:32" s="16" customFormat="1" x14ac:dyDescent="0.4">
      <c r="A13" s="6"/>
      <c r="B13" s="7"/>
      <c r="C13" s="4">
        <v>36942</v>
      </c>
      <c r="D13" s="1" t="s">
        <v>70</v>
      </c>
      <c r="E13" s="1" t="s">
        <v>71</v>
      </c>
      <c r="F13" s="1" t="s">
        <v>72</v>
      </c>
      <c r="G13" s="1">
        <v>17900</v>
      </c>
      <c r="H13" s="21">
        <v>5689</v>
      </c>
      <c r="I13" s="21" t="s">
        <v>13</v>
      </c>
      <c r="J13" s="1" t="s">
        <v>73</v>
      </c>
      <c r="K13" s="1" t="s">
        <v>74</v>
      </c>
      <c r="L13" s="1" t="s">
        <v>35</v>
      </c>
      <c r="M13" s="1"/>
      <c r="N13" s="1" t="s">
        <v>75</v>
      </c>
      <c r="O13" s="1"/>
      <c r="P13" s="1" t="s">
        <v>76</v>
      </c>
      <c r="Q13" s="1"/>
      <c r="R13" s="1"/>
      <c r="S13" s="1"/>
      <c r="T13" s="1"/>
      <c r="U13" s="1"/>
      <c r="V13" s="1"/>
      <c r="W13" s="1"/>
      <c r="X13" s="1"/>
      <c r="Y13" s="1"/>
      <c r="Z13" s="1">
        <f ca="1">IF(Table1[[#This Row],[Inactive_Date]]="",DATEDIF(Table1[[#This Row],[Date_Acq]],TODAY(),"m"),DATEDIF(Table1[[#This Row],[Date_Acq]],Table1[[#This Row],[Inactive_Date]],"m"))</f>
        <v>189</v>
      </c>
    </row>
    <row r="14" spans="1:32" s="16" customFormat="1" x14ac:dyDescent="0.4">
      <c r="A14" s="6"/>
      <c r="B14" s="7"/>
      <c r="C14" s="4">
        <v>37132</v>
      </c>
      <c r="D14" s="1"/>
      <c r="E14" s="1" t="s">
        <v>77</v>
      </c>
      <c r="F14" s="1" t="s">
        <v>77</v>
      </c>
      <c r="G14" s="1">
        <v>698</v>
      </c>
      <c r="H14" s="21"/>
      <c r="I14" s="21" t="s">
        <v>13</v>
      </c>
      <c r="J14" s="1" t="s">
        <v>55</v>
      </c>
      <c r="K14" s="1" t="s">
        <v>56</v>
      </c>
      <c r="L14" s="1" t="s">
        <v>35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>
        <f ca="1">IF(Table1[[#This Row],[Inactive_Date]]="",DATEDIF(Table1[[#This Row],[Date_Acq]],TODAY(),"m"),DATEDIF(Table1[[#This Row],[Date_Acq]],Table1[[#This Row],[Inactive_Date]],"m"))</f>
        <v>182</v>
      </c>
    </row>
    <row r="15" spans="1:32" s="16" customFormat="1" x14ac:dyDescent="0.4">
      <c r="A15" s="6"/>
      <c r="B15" s="7"/>
      <c r="C15" s="4">
        <v>37200</v>
      </c>
      <c r="D15" s="1"/>
      <c r="E15" s="1" t="s">
        <v>78</v>
      </c>
      <c r="F15" s="1" t="s">
        <v>78</v>
      </c>
      <c r="G15" s="1">
        <v>3273.69</v>
      </c>
      <c r="H15" s="21"/>
      <c r="I15" s="21" t="s">
        <v>13</v>
      </c>
      <c r="J15" s="1" t="s">
        <v>38</v>
      </c>
      <c r="K15" s="1" t="s">
        <v>39</v>
      </c>
      <c r="L15" s="1" t="s">
        <v>35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>
        <f ca="1">IF(Table1[[#This Row],[Inactive_Date]]="",DATEDIF(Table1[[#This Row],[Date_Acq]],TODAY(),"m"),DATEDIF(Table1[[#This Row],[Date_Acq]],Table1[[#This Row],[Inactive_Date]],"m"))</f>
        <v>180</v>
      </c>
    </row>
    <row r="16" spans="1:32" s="16" customFormat="1" x14ac:dyDescent="0.4">
      <c r="A16" s="6"/>
      <c r="B16" s="7"/>
      <c r="C16" s="4">
        <v>37226</v>
      </c>
      <c r="D16" s="1" t="s">
        <v>79</v>
      </c>
      <c r="E16" s="1" t="s">
        <v>80</v>
      </c>
      <c r="F16" s="1" t="s">
        <v>80</v>
      </c>
      <c r="G16" s="1">
        <v>2300</v>
      </c>
      <c r="H16" s="21"/>
      <c r="I16" s="21" t="s">
        <v>13</v>
      </c>
      <c r="J16" s="1" t="s">
        <v>38</v>
      </c>
      <c r="K16" s="1" t="s">
        <v>39</v>
      </c>
      <c r="L16" s="1" t="s">
        <v>35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>
        <f ca="1">IF(Table1[[#This Row],[Inactive_Date]]="",DATEDIF(Table1[[#This Row],[Date_Acq]],TODAY(),"m"),DATEDIF(Table1[[#This Row],[Date_Acq]],Table1[[#This Row],[Inactive_Date]],"m"))</f>
        <v>179</v>
      </c>
    </row>
    <row r="17" spans="1:35" s="16" customFormat="1" x14ac:dyDescent="0.4">
      <c r="A17" s="6"/>
      <c r="B17" s="7"/>
      <c r="C17" s="4">
        <v>37237</v>
      </c>
      <c r="D17" s="1" t="s">
        <v>79</v>
      </c>
      <c r="E17" s="1" t="s">
        <v>81</v>
      </c>
      <c r="F17" s="1" t="s">
        <v>81</v>
      </c>
      <c r="G17" s="1">
        <v>3779.97</v>
      </c>
      <c r="H17" s="21"/>
      <c r="I17" s="21" t="s">
        <v>13</v>
      </c>
      <c r="J17" s="1" t="s">
        <v>38</v>
      </c>
      <c r="K17" s="1" t="s">
        <v>39</v>
      </c>
      <c r="L17" s="1" t="s">
        <v>35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>
        <f ca="1">IF(Table1[[#This Row],[Inactive_Date]]="",DATEDIF(Table1[[#This Row],[Date_Acq]],TODAY(),"m"),DATEDIF(Table1[[#This Row],[Date_Acq]],Table1[[#This Row],[Inactive_Date]],"m"))</f>
        <v>179</v>
      </c>
      <c r="AI17"/>
    </row>
    <row r="18" spans="1:35" s="16" customFormat="1" x14ac:dyDescent="0.4">
      <c r="A18" s="6"/>
      <c r="B18" s="7"/>
      <c r="C18" s="4">
        <v>37257</v>
      </c>
      <c r="D18" s="1"/>
      <c r="E18" s="1" t="s">
        <v>82</v>
      </c>
      <c r="F18" s="1" t="s">
        <v>82</v>
      </c>
      <c r="G18" s="1">
        <v>1756</v>
      </c>
      <c r="H18" s="21">
        <v>5689</v>
      </c>
      <c r="I18" s="21" t="s">
        <v>13</v>
      </c>
      <c r="J18" s="1" t="s">
        <v>73</v>
      </c>
      <c r="K18" s="1" t="s">
        <v>74</v>
      </c>
      <c r="L18" s="1" t="s">
        <v>35</v>
      </c>
      <c r="M18" s="1"/>
      <c r="N18" s="1" t="s">
        <v>83</v>
      </c>
      <c r="O18" s="1"/>
      <c r="P18" s="1" t="s">
        <v>84</v>
      </c>
      <c r="Q18" s="1"/>
      <c r="R18" s="1"/>
      <c r="S18" s="1"/>
      <c r="T18" s="1"/>
      <c r="U18" s="1"/>
      <c r="V18" s="1"/>
      <c r="W18" s="1"/>
      <c r="X18" s="1"/>
      <c r="Y18" s="1"/>
      <c r="Z18" s="1">
        <f ca="1">IF(Table1[[#This Row],[Inactive_Date]]="",DATEDIF(Table1[[#This Row],[Date_Acq]],TODAY(),"m"),DATEDIF(Table1[[#This Row],[Date_Acq]],Table1[[#This Row],[Inactive_Date]],"m"))</f>
        <v>178</v>
      </c>
    </row>
    <row r="19" spans="1:35" s="16" customFormat="1" x14ac:dyDescent="0.4">
      <c r="A19" s="6"/>
      <c r="B19" s="7"/>
      <c r="C19" s="4">
        <v>37288</v>
      </c>
      <c r="D19" s="1" t="s">
        <v>85</v>
      </c>
      <c r="E19" s="1" t="s">
        <v>86</v>
      </c>
      <c r="F19" s="1" t="s">
        <v>87</v>
      </c>
      <c r="G19" s="1">
        <v>799</v>
      </c>
      <c r="H19" s="21">
        <v>5677</v>
      </c>
      <c r="I19" s="21" t="s">
        <v>13</v>
      </c>
      <c r="J19" s="1" t="s">
        <v>73</v>
      </c>
      <c r="K19" s="1" t="s">
        <v>39</v>
      </c>
      <c r="L19" s="1" t="s">
        <v>35</v>
      </c>
      <c r="M19" s="1"/>
      <c r="N19" s="1" t="s">
        <v>88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>
        <f ca="1">IF(Table1[[#This Row],[Inactive_Date]]="",DATEDIF(Table1[[#This Row],[Date_Acq]],TODAY(),"m"),DATEDIF(Table1[[#This Row],[Date_Acq]],Table1[[#This Row],[Inactive_Date]],"m"))</f>
        <v>177</v>
      </c>
    </row>
    <row r="20" spans="1:35" s="17" customFormat="1" x14ac:dyDescent="0.4">
      <c r="A20" s="6"/>
      <c r="B20" s="7"/>
      <c r="C20" s="4">
        <v>37837</v>
      </c>
      <c r="D20" s="2" t="s">
        <v>89</v>
      </c>
      <c r="E20" s="2" t="s">
        <v>90</v>
      </c>
      <c r="F20" s="2" t="s">
        <v>90</v>
      </c>
      <c r="G20" s="2">
        <v>975</v>
      </c>
      <c r="H20" s="21">
        <v>5380</v>
      </c>
      <c r="I20" s="21" t="s">
        <v>13</v>
      </c>
      <c r="J20" s="2" t="s">
        <v>46</v>
      </c>
      <c r="K20" s="2" t="s">
        <v>39</v>
      </c>
      <c r="L20" s="2" t="s">
        <v>35</v>
      </c>
      <c r="M20" s="2"/>
      <c r="N20" s="2"/>
      <c r="O20" s="2"/>
      <c r="P20" s="2"/>
      <c r="Q20" s="2"/>
      <c r="R20" s="1"/>
      <c r="S20" s="2"/>
      <c r="T20" s="1"/>
      <c r="U20" s="1"/>
      <c r="V20" s="2"/>
      <c r="W20" s="2"/>
      <c r="X20" s="2"/>
      <c r="Y20" s="2"/>
      <c r="Z20" s="1">
        <f ca="1">IF(Table1[[#This Row],[Inactive_Date]]="",DATEDIF(Table1[[#This Row],[Date_Acq]],TODAY(),"m"),DATEDIF(Table1[[#This Row],[Date_Acq]],Table1[[#This Row],[Inactive_Date]],"m"))</f>
        <v>159</v>
      </c>
    </row>
    <row r="21" spans="1:35" s="16" customFormat="1" x14ac:dyDescent="0.4">
      <c r="A21" s="6"/>
      <c r="B21" s="7"/>
      <c r="C21" s="4">
        <v>37973</v>
      </c>
      <c r="D21" s="1" t="s">
        <v>91</v>
      </c>
      <c r="E21" s="1" t="s">
        <v>92</v>
      </c>
      <c r="F21" s="1" t="s">
        <v>92</v>
      </c>
      <c r="G21" s="1">
        <v>650</v>
      </c>
      <c r="H21" s="21">
        <v>5676</v>
      </c>
      <c r="I21" s="21" t="s">
        <v>13</v>
      </c>
      <c r="J21" s="1" t="s">
        <v>38</v>
      </c>
      <c r="K21" s="1" t="s">
        <v>39</v>
      </c>
      <c r="L21" s="1" t="s">
        <v>35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>
        <f ca="1">IF(Table1[[#This Row],[Inactive_Date]]="",DATEDIF(Table1[[#This Row],[Date_Acq]],TODAY(),"m"),DATEDIF(Table1[[#This Row],[Date_Acq]],Table1[[#This Row],[Inactive_Date]],"m"))</f>
        <v>155</v>
      </c>
    </row>
    <row r="22" spans="1:35" s="16" customFormat="1" x14ac:dyDescent="0.4">
      <c r="A22" s="6"/>
      <c r="B22" s="7"/>
      <c r="C22" s="4">
        <v>37973</v>
      </c>
      <c r="D22" s="1" t="s">
        <v>91</v>
      </c>
      <c r="E22" s="1" t="s">
        <v>92</v>
      </c>
      <c r="F22" s="1" t="s">
        <v>92</v>
      </c>
      <c r="G22" s="1">
        <v>650</v>
      </c>
      <c r="H22" s="21">
        <v>5676</v>
      </c>
      <c r="I22" s="21" t="s">
        <v>13</v>
      </c>
      <c r="J22" s="1" t="s">
        <v>38</v>
      </c>
      <c r="K22" s="1" t="s">
        <v>39</v>
      </c>
      <c r="L22" s="1" t="s">
        <v>35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>
        <f ca="1">IF(Table1[[#This Row],[Inactive_Date]]="",DATEDIF(Table1[[#This Row],[Date_Acq]],TODAY(),"m"),DATEDIF(Table1[[#This Row],[Date_Acq]],Table1[[#This Row],[Inactive_Date]],"m"))</f>
        <v>155</v>
      </c>
      <c r="AB22" s="17"/>
    </row>
    <row r="23" spans="1:35" s="16" customFormat="1" x14ac:dyDescent="0.4">
      <c r="A23" s="6"/>
      <c r="B23" s="7"/>
      <c r="C23" s="4">
        <v>37973</v>
      </c>
      <c r="D23" s="1" t="s">
        <v>91</v>
      </c>
      <c r="E23" s="1" t="s">
        <v>93</v>
      </c>
      <c r="F23" s="1" t="s">
        <v>93</v>
      </c>
      <c r="G23" s="1">
        <v>1100</v>
      </c>
      <c r="H23" s="21">
        <v>5676</v>
      </c>
      <c r="I23" s="21" t="s">
        <v>13</v>
      </c>
      <c r="J23" s="1" t="s">
        <v>38</v>
      </c>
      <c r="K23" s="1" t="s">
        <v>39</v>
      </c>
      <c r="L23" s="1" t="s">
        <v>35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>
        <f ca="1">IF(Table1[[#This Row],[Inactive_Date]]="",DATEDIF(Table1[[#This Row],[Date_Acq]],TODAY(),"m"),DATEDIF(Table1[[#This Row],[Date_Acq]],Table1[[#This Row],[Inactive_Date]],"m"))</f>
        <v>155</v>
      </c>
    </row>
    <row r="24" spans="1:35" s="16" customFormat="1" x14ac:dyDescent="0.4">
      <c r="A24" s="6"/>
      <c r="B24" s="7"/>
      <c r="C24" s="4">
        <v>37987</v>
      </c>
      <c r="D24" s="1"/>
      <c r="E24" s="1" t="s">
        <v>94</v>
      </c>
      <c r="F24" s="1" t="s">
        <v>94</v>
      </c>
      <c r="G24" s="1">
        <v>1480168</v>
      </c>
      <c r="H24" s="21">
        <v>0</v>
      </c>
      <c r="I24" s="21" t="s">
        <v>13</v>
      </c>
      <c r="J24" s="1" t="s">
        <v>55</v>
      </c>
      <c r="K24" s="1" t="s">
        <v>95</v>
      </c>
      <c r="L24" s="1" t="s">
        <v>35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>
        <f ca="1">IF(Table1[[#This Row],[Inactive_Date]]="",DATEDIF(Table1[[#This Row],[Date_Acq]],TODAY(),"m"),DATEDIF(Table1[[#This Row],[Date_Acq]],Table1[[#This Row],[Inactive_Date]],"m"))</f>
        <v>154</v>
      </c>
      <c r="AE24"/>
    </row>
    <row r="25" spans="1:35" s="16" customFormat="1" x14ac:dyDescent="0.4">
      <c r="A25" s="6"/>
      <c r="B25" s="7"/>
      <c r="C25" s="4">
        <v>37992</v>
      </c>
      <c r="D25" s="1" t="s">
        <v>96</v>
      </c>
      <c r="E25" s="1" t="s">
        <v>97</v>
      </c>
      <c r="F25" s="1" t="s">
        <v>97</v>
      </c>
      <c r="G25" s="1">
        <v>548</v>
      </c>
      <c r="H25" s="21">
        <v>2331</v>
      </c>
      <c r="I25" s="21" t="s">
        <v>13</v>
      </c>
      <c r="J25" s="1"/>
      <c r="K25" s="1" t="s">
        <v>39</v>
      </c>
      <c r="L25" s="1" t="s">
        <v>51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>
        <f ca="1">IF(Table1[[#This Row],[Inactive_Date]]="",DATEDIF(Table1[[#This Row],[Date_Acq]],TODAY(),"m"),DATEDIF(Table1[[#This Row],[Date_Acq]],Table1[[#This Row],[Inactive_Date]],"m"))</f>
        <v>154</v>
      </c>
      <c r="AF25"/>
    </row>
    <row r="26" spans="1:35" s="16" customFormat="1" x14ac:dyDescent="0.4">
      <c r="A26" s="6"/>
      <c r="B26" s="7"/>
      <c r="C26" s="4">
        <v>38004</v>
      </c>
      <c r="D26" s="1" t="s">
        <v>98</v>
      </c>
      <c r="E26" s="1" t="s">
        <v>99</v>
      </c>
      <c r="F26" s="1" t="s">
        <v>99</v>
      </c>
      <c r="G26" s="1">
        <v>1007</v>
      </c>
      <c r="H26" s="21">
        <v>2331</v>
      </c>
      <c r="I26" s="21" t="s">
        <v>13</v>
      </c>
      <c r="J26" s="1" t="s">
        <v>38</v>
      </c>
      <c r="K26" s="1" t="s">
        <v>39</v>
      </c>
      <c r="L26" s="1" t="s">
        <v>35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>
        <f ca="1">IF(Table1[[#This Row],[Inactive_Date]]="",DATEDIF(Table1[[#This Row],[Date_Acq]],TODAY(),"m"),DATEDIF(Table1[[#This Row],[Date_Acq]],Table1[[#This Row],[Inactive_Date]],"m"))</f>
        <v>154</v>
      </c>
      <c r="AE26"/>
    </row>
    <row r="27" spans="1:35" s="17" customFormat="1" x14ac:dyDescent="0.4">
      <c r="A27" s="6"/>
      <c r="B27" s="7"/>
      <c r="C27" s="4">
        <v>38111</v>
      </c>
      <c r="D27" s="2" t="s">
        <v>100</v>
      </c>
      <c r="E27" s="2" t="s">
        <v>101</v>
      </c>
      <c r="F27" s="2" t="s">
        <v>101</v>
      </c>
      <c r="G27" s="2">
        <v>1026.26</v>
      </c>
      <c r="H27" s="21">
        <v>5380</v>
      </c>
      <c r="I27" s="21" t="s">
        <v>13</v>
      </c>
      <c r="J27" s="2" t="s">
        <v>46</v>
      </c>
      <c r="K27" s="2" t="s">
        <v>39</v>
      </c>
      <c r="L27" s="2" t="s">
        <v>35</v>
      </c>
      <c r="M27" s="2"/>
      <c r="N27" s="2"/>
      <c r="O27" s="2"/>
      <c r="P27" s="2"/>
      <c r="Q27" s="2"/>
      <c r="R27" s="1"/>
      <c r="S27" s="2"/>
      <c r="T27" s="1"/>
      <c r="U27" s="1"/>
      <c r="V27" s="2"/>
      <c r="W27" s="2"/>
      <c r="X27" s="2"/>
      <c r="Y27" s="2"/>
      <c r="Z27" s="1">
        <f ca="1">IF(Table1[[#This Row],[Inactive_Date]]="",DATEDIF(Table1[[#This Row],[Date_Acq]],TODAY(),"m"),DATEDIF(Table1[[#This Row],[Date_Acq]],Table1[[#This Row],[Inactive_Date]],"m"))</f>
        <v>150</v>
      </c>
    </row>
    <row r="28" spans="1:35" s="17" customFormat="1" x14ac:dyDescent="0.4">
      <c r="A28" s="6"/>
      <c r="B28" s="7"/>
      <c r="C28" s="4">
        <v>38186</v>
      </c>
      <c r="D28" s="2" t="s">
        <v>102</v>
      </c>
      <c r="E28" s="2" t="s">
        <v>103</v>
      </c>
      <c r="F28" s="2" t="s">
        <v>103</v>
      </c>
      <c r="G28" s="2">
        <v>756.5</v>
      </c>
      <c r="H28" s="21">
        <v>5643</v>
      </c>
      <c r="I28" s="21" t="s">
        <v>13</v>
      </c>
      <c r="J28" s="2" t="s">
        <v>46</v>
      </c>
      <c r="K28" s="2" t="s">
        <v>39</v>
      </c>
      <c r="L28" s="2" t="s">
        <v>35</v>
      </c>
      <c r="M28" s="2"/>
      <c r="N28" s="2"/>
      <c r="O28" s="2"/>
      <c r="P28" s="2"/>
      <c r="Q28" s="2"/>
      <c r="R28" s="1"/>
      <c r="S28" s="2"/>
      <c r="T28" s="1"/>
      <c r="U28" s="1"/>
      <c r="V28" s="2"/>
      <c r="W28" s="2"/>
      <c r="X28" s="2"/>
      <c r="Y28" s="2"/>
      <c r="Z28" s="1">
        <f ca="1">IF(Table1[[#This Row],[Inactive_Date]]="",DATEDIF(Table1[[#This Row],[Date_Acq]],TODAY(),"m"),DATEDIF(Table1[[#This Row],[Date_Acq]],Table1[[#This Row],[Inactive_Date]],"m"))</f>
        <v>148</v>
      </c>
    </row>
    <row r="29" spans="1:35" s="17" customFormat="1" x14ac:dyDescent="0.4">
      <c r="A29" s="6"/>
      <c r="B29" s="7"/>
      <c r="C29" s="4">
        <v>38224</v>
      </c>
      <c r="D29" s="2" t="s">
        <v>104</v>
      </c>
      <c r="E29" s="2" t="s">
        <v>105</v>
      </c>
      <c r="F29" s="2" t="s">
        <v>105</v>
      </c>
      <c r="G29" s="2">
        <v>3237</v>
      </c>
      <c r="H29" s="21">
        <v>2472</v>
      </c>
      <c r="I29" s="21" t="s">
        <v>13</v>
      </c>
      <c r="J29" s="2" t="s">
        <v>46</v>
      </c>
      <c r="K29" s="2" t="s">
        <v>39</v>
      </c>
      <c r="L29" s="2" t="s">
        <v>35</v>
      </c>
      <c r="M29" s="2"/>
      <c r="N29" s="2"/>
      <c r="O29" s="2"/>
      <c r="P29" s="2"/>
      <c r="Q29" s="2"/>
      <c r="R29" s="1"/>
      <c r="S29" s="2"/>
      <c r="T29" s="1"/>
      <c r="U29" s="1"/>
      <c r="V29" s="2"/>
      <c r="W29" s="2"/>
      <c r="X29" s="2"/>
      <c r="Y29" s="2"/>
      <c r="Z29" s="1">
        <f ca="1">IF(Table1[[#This Row],[Inactive_Date]]="",DATEDIF(Table1[[#This Row],[Date_Acq]],TODAY(),"m"),DATEDIF(Table1[[#This Row],[Date_Acq]],Table1[[#This Row],[Inactive_Date]],"m"))</f>
        <v>146</v>
      </c>
    </row>
    <row r="30" spans="1:35" s="17" customFormat="1" x14ac:dyDescent="0.4">
      <c r="A30" s="6"/>
      <c r="B30" s="7"/>
      <c r="C30" s="4">
        <v>38254</v>
      </c>
      <c r="D30" s="2" t="s">
        <v>102</v>
      </c>
      <c r="E30" s="2" t="s">
        <v>103</v>
      </c>
      <c r="F30" s="2" t="s">
        <v>103</v>
      </c>
      <c r="G30" s="2">
        <v>714</v>
      </c>
      <c r="H30" s="21">
        <v>5643</v>
      </c>
      <c r="I30" s="21" t="s">
        <v>13</v>
      </c>
      <c r="J30" s="2" t="s">
        <v>46</v>
      </c>
      <c r="K30" s="2" t="s">
        <v>39</v>
      </c>
      <c r="L30" s="2" t="s">
        <v>35</v>
      </c>
      <c r="M30" s="2"/>
      <c r="N30" s="2"/>
      <c r="O30" s="2"/>
      <c r="P30" s="2"/>
      <c r="Q30" s="2"/>
      <c r="R30" s="1"/>
      <c r="S30" s="2"/>
      <c r="T30" s="1"/>
      <c r="U30" s="1"/>
      <c r="V30" s="2"/>
      <c r="W30" s="2"/>
      <c r="X30" s="2"/>
      <c r="Y30" s="2"/>
      <c r="Z30" s="1">
        <f ca="1">IF(Table1[[#This Row],[Inactive_Date]]="",DATEDIF(Table1[[#This Row],[Date_Acq]],TODAY(),"m"),DATEDIF(Table1[[#This Row],[Date_Acq]],Table1[[#This Row],[Inactive_Date]],"m"))</f>
        <v>145</v>
      </c>
    </row>
    <row r="31" spans="1:35" s="17" customFormat="1" x14ac:dyDescent="0.4">
      <c r="A31" s="6"/>
      <c r="B31" s="7"/>
      <c r="C31" s="4">
        <v>38254</v>
      </c>
      <c r="D31" s="2" t="s">
        <v>102</v>
      </c>
      <c r="E31" s="2" t="s">
        <v>103</v>
      </c>
      <c r="F31" s="2" t="s">
        <v>103</v>
      </c>
      <c r="G31" s="2">
        <v>756.5</v>
      </c>
      <c r="H31" s="21">
        <v>5643</v>
      </c>
      <c r="I31" s="21" t="s">
        <v>13</v>
      </c>
      <c r="J31" s="2" t="s">
        <v>46</v>
      </c>
      <c r="K31" s="2" t="s">
        <v>39</v>
      </c>
      <c r="L31" s="2" t="s">
        <v>35</v>
      </c>
      <c r="M31" s="2"/>
      <c r="N31" s="2"/>
      <c r="O31" s="2"/>
      <c r="P31" s="2"/>
      <c r="Q31" s="2"/>
      <c r="R31" s="1"/>
      <c r="S31" s="2"/>
      <c r="T31" s="1"/>
      <c r="U31" s="1"/>
      <c r="V31" s="2"/>
      <c r="W31" s="2"/>
      <c r="X31" s="2"/>
      <c r="Y31" s="2"/>
      <c r="Z31" s="1">
        <f ca="1">IF(Table1[[#This Row],[Inactive_Date]]="",DATEDIF(Table1[[#This Row],[Date_Acq]],TODAY(),"m"),DATEDIF(Table1[[#This Row],[Date_Acq]],Table1[[#This Row],[Inactive_Date]],"m"))</f>
        <v>145</v>
      </c>
    </row>
    <row r="32" spans="1:35" s="17" customFormat="1" x14ac:dyDescent="0.4">
      <c r="A32" s="6"/>
      <c r="B32" s="7"/>
      <c r="C32" s="4">
        <v>38555</v>
      </c>
      <c r="D32" s="2" t="s">
        <v>102</v>
      </c>
      <c r="E32" s="2" t="s">
        <v>106</v>
      </c>
      <c r="F32" s="2" t="s">
        <v>106</v>
      </c>
      <c r="G32" s="2">
        <v>599</v>
      </c>
      <c r="H32" s="21">
        <v>5643</v>
      </c>
      <c r="I32" s="21" t="s">
        <v>13</v>
      </c>
      <c r="J32" s="2" t="s">
        <v>46</v>
      </c>
      <c r="K32" s="2" t="s">
        <v>39</v>
      </c>
      <c r="L32" s="2" t="s">
        <v>35</v>
      </c>
      <c r="M32" s="2"/>
      <c r="N32" s="2"/>
      <c r="O32" s="2"/>
      <c r="P32" s="2"/>
      <c r="Q32" s="2"/>
      <c r="R32" s="1"/>
      <c r="S32" s="2"/>
      <c r="T32" s="1"/>
      <c r="U32" s="1"/>
      <c r="V32" s="2"/>
      <c r="W32" s="2"/>
      <c r="X32" s="2"/>
      <c r="Y32" s="2"/>
      <c r="Z32" s="1">
        <f ca="1">IF(Table1[[#This Row],[Inactive_Date]]="",DATEDIF(Table1[[#This Row],[Date_Acq]],TODAY(),"m"),DATEDIF(Table1[[#This Row],[Date_Acq]],Table1[[#This Row],[Inactive_Date]],"m"))</f>
        <v>136</v>
      </c>
    </row>
    <row r="33" spans="1:35" s="17" customFormat="1" x14ac:dyDescent="0.4">
      <c r="A33" s="6"/>
      <c r="B33" s="7"/>
      <c r="C33" s="4">
        <v>38555</v>
      </c>
      <c r="D33" s="2" t="s">
        <v>102</v>
      </c>
      <c r="E33" s="2" t="s">
        <v>106</v>
      </c>
      <c r="F33" s="2" t="s">
        <v>106</v>
      </c>
      <c r="G33" s="2">
        <v>599</v>
      </c>
      <c r="H33" s="21">
        <v>5643</v>
      </c>
      <c r="I33" s="21" t="s">
        <v>13</v>
      </c>
      <c r="J33" s="2" t="s">
        <v>46</v>
      </c>
      <c r="K33" s="2" t="s">
        <v>39</v>
      </c>
      <c r="L33" s="2" t="s">
        <v>35</v>
      </c>
      <c r="M33" s="2"/>
      <c r="N33" s="2"/>
      <c r="O33" s="2"/>
      <c r="P33" s="2"/>
      <c r="Q33" s="2"/>
      <c r="R33" s="1"/>
      <c r="S33" s="2"/>
      <c r="T33" s="1"/>
      <c r="U33" s="1"/>
      <c r="V33" s="2"/>
      <c r="W33" s="2"/>
      <c r="X33" s="2"/>
      <c r="Y33" s="2"/>
      <c r="Z33" s="1">
        <f ca="1">IF(Table1[[#This Row],[Inactive_Date]]="",DATEDIF(Table1[[#This Row],[Date_Acq]],TODAY(),"m"),DATEDIF(Table1[[#This Row],[Date_Acq]],Table1[[#This Row],[Inactive_Date]],"m"))</f>
        <v>136</v>
      </c>
    </row>
    <row r="34" spans="1:35" s="17" customFormat="1" x14ac:dyDescent="0.4">
      <c r="A34" s="6"/>
      <c r="B34" s="7"/>
      <c r="C34" s="4">
        <v>38688</v>
      </c>
      <c r="D34" s="2" t="s">
        <v>102</v>
      </c>
      <c r="E34" s="2" t="s">
        <v>103</v>
      </c>
      <c r="F34" s="2" t="s">
        <v>103</v>
      </c>
      <c r="G34" s="2">
        <v>536.34</v>
      </c>
      <c r="H34" s="21">
        <v>5643</v>
      </c>
      <c r="I34" s="21" t="s">
        <v>13</v>
      </c>
      <c r="J34" s="2" t="s">
        <v>46</v>
      </c>
      <c r="K34" s="2" t="s">
        <v>39</v>
      </c>
      <c r="L34" s="2" t="s">
        <v>35</v>
      </c>
      <c r="M34" s="2"/>
      <c r="N34" s="2"/>
      <c r="O34" s="2"/>
      <c r="P34" s="2"/>
      <c r="Q34" s="2"/>
      <c r="R34" s="1"/>
      <c r="S34" s="2"/>
      <c r="T34" s="1"/>
      <c r="U34" s="1"/>
      <c r="V34" s="2"/>
      <c r="W34" s="2"/>
      <c r="X34" s="2"/>
      <c r="Y34" s="2"/>
      <c r="Z34" s="1">
        <f ca="1">IF(Table1[[#This Row],[Inactive_Date]]="",DATEDIF(Table1[[#This Row],[Date_Acq]],TODAY(),"m"),DATEDIF(Table1[[#This Row],[Date_Acq]],Table1[[#This Row],[Inactive_Date]],"m"))</f>
        <v>131</v>
      </c>
    </row>
    <row r="35" spans="1:35" s="16" customFormat="1" hidden="1" x14ac:dyDescent="0.4">
      <c r="A35" s="6"/>
      <c r="B35" s="7"/>
      <c r="C35" s="4">
        <v>38718</v>
      </c>
      <c r="D35" s="1"/>
      <c r="E35" s="1" t="s">
        <v>107</v>
      </c>
      <c r="F35" s="1"/>
      <c r="G35" s="1">
        <v>500</v>
      </c>
      <c r="H35" s="21">
        <v>0</v>
      </c>
      <c r="I35" s="21" t="s">
        <v>108</v>
      </c>
      <c r="J35" s="1"/>
      <c r="K35" s="1" t="s">
        <v>34</v>
      </c>
      <c r="L35" s="1" t="s">
        <v>51</v>
      </c>
      <c r="M35" s="1"/>
      <c r="N35" s="1" t="s">
        <v>102</v>
      </c>
      <c r="O35" s="1" t="s">
        <v>109</v>
      </c>
      <c r="P35" s="1"/>
      <c r="Q35" s="1" t="s">
        <v>110</v>
      </c>
      <c r="R35" s="1">
        <v>5</v>
      </c>
      <c r="S35" s="1" t="s">
        <v>111</v>
      </c>
      <c r="T35" s="1"/>
      <c r="U35" s="1"/>
      <c r="V35" s="1"/>
      <c r="W35" s="1"/>
      <c r="X35" s="1"/>
      <c r="Y35" s="1"/>
      <c r="Z35" s="1">
        <f ca="1">IF(Table1[[#This Row],[Inactive_Date]]="",DATEDIF(Table1[[#This Row],[Date_Acq]],TODAY(),"m"),DATEDIF(Table1[[#This Row],[Date_Acq]],Table1[[#This Row],[Inactive_Date]],"m"))</f>
        <v>130</v>
      </c>
    </row>
    <row r="36" spans="1:35" s="17" customFormat="1" x14ac:dyDescent="0.4">
      <c r="A36" s="6"/>
      <c r="B36" s="7"/>
      <c r="C36" s="4">
        <v>38718</v>
      </c>
      <c r="D36" s="2" t="s">
        <v>102</v>
      </c>
      <c r="E36" s="2" t="s">
        <v>112</v>
      </c>
      <c r="F36" s="2" t="s">
        <v>112</v>
      </c>
      <c r="G36" s="2">
        <v>875.6</v>
      </c>
      <c r="H36" s="21">
        <v>2479</v>
      </c>
      <c r="I36" s="21" t="s">
        <v>13</v>
      </c>
      <c r="J36" s="2" t="s">
        <v>46</v>
      </c>
      <c r="K36" s="2" t="s">
        <v>39</v>
      </c>
      <c r="L36" s="2" t="s">
        <v>35</v>
      </c>
      <c r="M36" s="2"/>
      <c r="N36" s="2"/>
      <c r="O36" s="2"/>
      <c r="P36" s="2"/>
      <c r="Q36" s="2"/>
      <c r="R36" s="1"/>
      <c r="S36" s="2"/>
      <c r="T36" s="1"/>
      <c r="U36" s="1"/>
      <c r="V36" s="2"/>
      <c r="W36" s="2"/>
      <c r="X36" s="2"/>
      <c r="Y36" s="2"/>
      <c r="Z36" s="1">
        <f ca="1">IF(Table1[[#This Row],[Inactive_Date]]="",DATEDIF(Table1[[#This Row],[Date_Acq]],TODAY(),"m"),DATEDIF(Table1[[#This Row],[Date_Acq]],Table1[[#This Row],[Inactive_Date]],"m"))</f>
        <v>130</v>
      </c>
    </row>
    <row r="37" spans="1:35" s="16" customFormat="1" x14ac:dyDescent="0.4">
      <c r="A37" s="6"/>
      <c r="B37" s="7"/>
      <c r="C37" s="4">
        <v>38723</v>
      </c>
      <c r="D37" s="1" t="s">
        <v>113</v>
      </c>
      <c r="E37" s="1" t="s">
        <v>114</v>
      </c>
      <c r="F37" s="1" t="s">
        <v>114</v>
      </c>
      <c r="G37" s="1">
        <v>1150</v>
      </c>
      <c r="H37" s="21">
        <v>2331</v>
      </c>
      <c r="I37" s="21" t="s">
        <v>13</v>
      </c>
      <c r="J37" s="1"/>
      <c r="K37" s="1" t="s">
        <v>39</v>
      </c>
      <c r="L37" s="1" t="s">
        <v>51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>
        <f ca="1">IF(Table1[[#This Row],[Inactive_Date]]="",DATEDIF(Table1[[#This Row],[Date_Acq]],TODAY(),"m"),DATEDIF(Table1[[#This Row],[Date_Acq]],Table1[[#This Row],[Inactive_Date]],"m"))</f>
        <v>130</v>
      </c>
      <c r="AI37"/>
    </row>
    <row r="38" spans="1:35" s="16" customFormat="1" hidden="1" x14ac:dyDescent="0.4">
      <c r="A38" s="6"/>
      <c r="B38" s="7"/>
      <c r="C38" s="4">
        <v>38737</v>
      </c>
      <c r="D38" s="1" t="s">
        <v>113</v>
      </c>
      <c r="E38" s="1" t="s">
        <v>115</v>
      </c>
      <c r="F38" s="1" t="s">
        <v>115</v>
      </c>
      <c r="G38" s="1">
        <v>619</v>
      </c>
      <c r="H38" s="21">
        <v>2331</v>
      </c>
      <c r="I38" s="21" t="s">
        <v>13</v>
      </c>
      <c r="J38" s="1"/>
      <c r="K38" s="1" t="s">
        <v>34</v>
      </c>
      <c r="L38" s="1" t="s">
        <v>51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>
        <f ca="1">IF(Table1[[#This Row],[Inactive_Date]]="",DATEDIF(Table1[[#This Row],[Date_Acq]],TODAY(),"m"),DATEDIF(Table1[[#This Row],[Date_Acq]],Table1[[#This Row],[Inactive_Date]],"m"))</f>
        <v>130</v>
      </c>
    </row>
    <row r="39" spans="1:35" s="16" customFormat="1" x14ac:dyDescent="0.4">
      <c r="A39" s="6"/>
      <c r="B39" s="7"/>
      <c r="C39" s="4">
        <v>38737</v>
      </c>
      <c r="D39" s="1" t="s">
        <v>113</v>
      </c>
      <c r="E39" s="1" t="s">
        <v>116</v>
      </c>
      <c r="F39" s="1" t="s">
        <v>116</v>
      </c>
      <c r="G39" s="1">
        <v>2192</v>
      </c>
      <c r="H39" s="21">
        <v>2331</v>
      </c>
      <c r="I39" s="21" t="s">
        <v>13</v>
      </c>
      <c r="J39" s="1"/>
      <c r="K39" s="1" t="s">
        <v>39</v>
      </c>
      <c r="L39" s="1" t="s">
        <v>51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>
        <f ca="1">IF(Table1[[#This Row],[Inactive_Date]]="",DATEDIF(Table1[[#This Row],[Date_Acq]],TODAY(),"m"),DATEDIF(Table1[[#This Row],[Date_Acq]],Table1[[#This Row],[Inactive_Date]],"m"))</f>
        <v>130</v>
      </c>
    </row>
    <row r="40" spans="1:35" s="16" customFormat="1" x14ac:dyDescent="0.4">
      <c r="A40" s="6"/>
      <c r="B40" s="7"/>
      <c r="C40" s="4">
        <v>38738</v>
      </c>
      <c r="D40" s="1" t="s">
        <v>117</v>
      </c>
      <c r="E40" s="1" t="s">
        <v>118</v>
      </c>
      <c r="F40" s="1" t="s">
        <v>118</v>
      </c>
      <c r="G40" s="1">
        <v>1686.45</v>
      </c>
      <c r="H40" s="21">
        <v>2331</v>
      </c>
      <c r="I40" s="21" t="s">
        <v>13</v>
      </c>
      <c r="J40" s="1"/>
      <c r="K40" s="1" t="s">
        <v>39</v>
      </c>
      <c r="L40" s="1" t="s">
        <v>51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>
        <f ca="1">IF(Table1[[#This Row],[Inactive_Date]]="",DATEDIF(Table1[[#This Row],[Date_Acq]],TODAY(),"m"),DATEDIF(Table1[[#This Row],[Date_Acq]],Table1[[#This Row],[Inactive_Date]],"m"))</f>
        <v>130</v>
      </c>
    </row>
    <row r="41" spans="1:35" s="16" customFormat="1" x14ac:dyDescent="0.4">
      <c r="A41" s="6"/>
      <c r="B41" s="7"/>
      <c r="C41" s="4">
        <v>38744</v>
      </c>
      <c r="D41" s="1" t="s">
        <v>119</v>
      </c>
      <c r="E41" s="1" t="s">
        <v>120</v>
      </c>
      <c r="F41" s="1" t="s">
        <v>120</v>
      </c>
      <c r="G41" s="1">
        <v>5600</v>
      </c>
      <c r="H41" s="21">
        <v>5689</v>
      </c>
      <c r="I41" s="21" t="s">
        <v>13</v>
      </c>
      <c r="J41" s="1"/>
      <c r="K41" s="1" t="s">
        <v>74</v>
      </c>
      <c r="L41" s="1" t="s">
        <v>51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>
        <f ca="1">IF(Table1[[#This Row],[Inactive_Date]]="",DATEDIF(Table1[[#This Row],[Date_Acq]],TODAY(),"m"),DATEDIF(Table1[[#This Row],[Date_Acq]],Table1[[#This Row],[Inactive_Date]],"m"))</f>
        <v>129</v>
      </c>
    </row>
    <row r="42" spans="1:35" s="16" customFormat="1" x14ac:dyDescent="0.4">
      <c r="A42" s="6"/>
      <c r="B42" s="7"/>
      <c r="C42" s="4">
        <v>38747</v>
      </c>
      <c r="D42" s="1" t="s">
        <v>121</v>
      </c>
      <c r="E42" s="1" t="s">
        <v>122</v>
      </c>
      <c r="F42" s="1" t="s">
        <v>122</v>
      </c>
      <c r="G42" s="1">
        <v>13075.5</v>
      </c>
      <c r="H42" s="21">
        <v>2331</v>
      </c>
      <c r="I42" s="21" t="s">
        <v>13</v>
      </c>
      <c r="J42" s="1"/>
      <c r="K42" s="1" t="s">
        <v>39</v>
      </c>
      <c r="L42" s="1" t="s">
        <v>51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>
        <f ca="1">IF(Table1[[#This Row],[Inactive_Date]]="",DATEDIF(Table1[[#This Row],[Date_Acq]],TODAY(),"m"),DATEDIF(Table1[[#This Row],[Date_Acq]],Table1[[#This Row],[Inactive_Date]],"m"))</f>
        <v>129</v>
      </c>
    </row>
    <row r="43" spans="1:35" s="16" customFormat="1" x14ac:dyDescent="0.4">
      <c r="A43" s="6"/>
      <c r="B43" s="7"/>
      <c r="C43" s="4">
        <v>38755</v>
      </c>
      <c r="D43" s="1" t="s">
        <v>123</v>
      </c>
      <c r="E43" s="1" t="s">
        <v>124</v>
      </c>
      <c r="F43" s="1" t="s">
        <v>124</v>
      </c>
      <c r="G43" s="1">
        <v>16995</v>
      </c>
      <c r="H43" s="21">
        <v>2479</v>
      </c>
      <c r="I43" s="21" t="s">
        <v>13</v>
      </c>
      <c r="J43" s="1" t="s">
        <v>33</v>
      </c>
      <c r="K43" s="1" t="s">
        <v>39</v>
      </c>
      <c r="L43" s="1" t="s">
        <v>35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>
        <f ca="1">IF(Table1[[#This Row],[Inactive_Date]]="",DATEDIF(Table1[[#This Row],[Date_Acq]],TODAY(),"m"),DATEDIF(Table1[[#This Row],[Date_Acq]],Table1[[#This Row],[Inactive_Date]],"m"))</f>
        <v>129</v>
      </c>
    </row>
    <row r="44" spans="1:35" s="16" customFormat="1" x14ac:dyDescent="0.4">
      <c r="A44" s="6"/>
      <c r="B44" s="7"/>
      <c r="C44" s="4">
        <v>38758</v>
      </c>
      <c r="D44" s="1" t="s">
        <v>125</v>
      </c>
      <c r="E44" s="1" t="s">
        <v>126</v>
      </c>
      <c r="F44" s="1" t="s">
        <v>126</v>
      </c>
      <c r="G44" s="1">
        <v>4399</v>
      </c>
      <c r="H44" s="21">
        <v>5689</v>
      </c>
      <c r="I44" s="21" t="s">
        <v>13</v>
      </c>
      <c r="J44" s="1" t="s">
        <v>73</v>
      </c>
      <c r="K44" s="1" t="s">
        <v>74</v>
      </c>
      <c r="L44" s="1" t="s">
        <v>35</v>
      </c>
      <c r="M44" s="1"/>
      <c r="N44" s="1" t="s">
        <v>127</v>
      </c>
      <c r="O44" s="1"/>
      <c r="P44" s="1" t="s">
        <v>128</v>
      </c>
      <c r="Q44" s="1"/>
      <c r="R44" s="1"/>
      <c r="S44" s="1"/>
      <c r="T44" s="1"/>
      <c r="U44" s="1"/>
      <c r="V44" s="1"/>
      <c r="W44" s="1"/>
      <c r="X44" s="1"/>
      <c r="Y44" s="1"/>
      <c r="Z44" s="1">
        <f ca="1">IF(Table1[[#This Row],[Inactive_Date]]="",DATEDIF(Table1[[#This Row],[Date_Acq]],TODAY(),"m"),DATEDIF(Table1[[#This Row],[Date_Acq]],Table1[[#This Row],[Inactive_Date]],"m"))</f>
        <v>129</v>
      </c>
    </row>
    <row r="45" spans="1:35" s="17" customFormat="1" x14ac:dyDescent="0.4">
      <c r="A45" s="6"/>
      <c r="B45" s="7"/>
      <c r="C45" s="4">
        <v>38758</v>
      </c>
      <c r="D45" s="2" t="s">
        <v>129</v>
      </c>
      <c r="E45" s="2" t="s">
        <v>130</v>
      </c>
      <c r="F45" s="2" t="s">
        <v>130</v>
      </c>
      <c r="G45" s="2">
        <v>2022</v>
      </c>
      <c r="H45" s="21">
        <v>2331</v>
      </c>
      <c r="I45" s="21" t="s">
        <v>13</v>
      </c>
      <c r="J45" s="2" t="s">
        <v>46</v>
      </c>
      <c r="K45" s="2" t="s">
        <v>39</v>
      </c>
      <c r="L45" s="2" t="s">
        <v>35</v>
      </c>
      <c r="M45" s="2"/>
      <c r="N45" s="2"/>
      <c r="O45" s="2"/>
      <c r="P45" s="2"/>
      <c r="Q45" s="2"/>
      <c r="R45" s="1"/>
      <c r="S45" s="2"/>
      <c r="T45" s="1"/>
      <c r="U45" s="1"/>
      <c r="V45" s="2"/>
      <c r="W45" s="2"/>
      <c r="X45" s="2"/>
      <c r="Y45" s="2"/>
      <c r="Z45" s="1">
        <f ca="1">IF(Table1[[#This Row],[Inactive_Date]]="",DATEDIF(Table1[[#This Row],[Date_Acq]],TODAY(),"m"),DATEDIF(Table1[[#This Row],[Date_Acq]],Table1[[#This Row],[Inactive_Date]],"m"))</f>
        <v>129</v>
      </c>
    </row>
    <row r="46" spans="1:35" s="16" customFormat="1" x14ac:dyDescent="0.4">
      <c r="A46" s="6"/>
      <c r="B46" s="7"/>
      <c r="C46" s="4">
        <v>38762</v>
      </c>
      <c r="D46" s="1" t="s">
        <v>131</v>
      </c>
      <c r="E46" s="1" t="s">
        <v>132</v>
      </c>
      <c r="F46" s="1" t="s">
        <v>132</v>
      </c>
      <c r="G46" s="1">
        <v>200282.33</v>
      </c>
      <c r="H46" s="21">
        <v>2478</v>
      </c>
      <c r="I46" s="21" t="s">
        <v>13</v>
      </c>
      <c r="J46" s="1" t="s">
        <v>38</v>
      </c>
      <c r="K46" s="1" t="s">
        <v>39</v>
      </c>
      <c r="L46" s="1" t="s">
        <v>35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>
        <f ca="1">IF(Table1[[#This Row],[Inactive_Date]]="",DATEDIF(Table1[[#This Row],[Date_Acq]],TODAY(),"m"),DATEDIF(Table1[[#This Row],[Date_Acq]],Table1[[#This Row],[Inactive_Date]],"m"))</f>
        <v>129</v>
      </c>
    </row>
    <row r="47" spans="1:35" s="16" customFormat="1" x14ac:dyDescent="0.4">
      <c r="A47" s="6"/>
      <c r="B47" s="7"/>
      <c r="C47" s="4">
        <v>38765</v>
      </c>
      <c r="D47" s="1" t="s">
        <v>133</v>
      </c>
      <c r="E47" s="1" t="s">
        <v>134</v>
      </c>
      <c r="F47" s="1" t="s">
        <v>134</v>
      </c>
      <c r="G47" s="1">
        <v>1052.4000000000001</v>
      </c>
      <c r="H47" s="21">
        <v>2478</v>
      </c>
      <c r="I47" s="21" t="s">
        <v>13</v>
      </c>
      <c r="J47" s="1" t="s">
        <v>38</v>
      </c>
      <c r="K47" s="1" t="s">
        <v>39</v>
      </c>
      <c r="L47" s="1" t="s">
        <v>35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>
        <f ca="1">IF(Table1[[#This Row],[Inactive_Date]]="",DATEDIF(Table1[[#This Row],[Date_Acq]],TODAY(),"m"),DATEDIF(Table1[[#This Row],[Date_Acq]],Table1[[#This Row],[Inactive_Date]],"m"))</f>
        <v>129</v>
      </c>
    </row>
    <row r="48" spans="1:35" s="16" customFormat="1" x14ac:dyDescent="0.4">
      <c r="A48" s="6"/>
      <c r="B48" s="7"/>
      <c r="C48" s="4">
        <v>38765</v>
      </c>
      <c r="D48" s="1" t="s">
        <v>135</v>
      </c>
      <c r="E48" s="1" t="s">
        <v>136</v>
      </c>
      <c r="F48" s="1" t="s">
        <v>136</v>
      </c>
      <c r="G48" s="1">
        <v>2665.33</v>
      </c>
      <c r="H48" s="21">
        <v>2478</v>
      </c>
      <c r="I48" s="21" t="s">
        <v>13</v>
      </c>
      <c r="J48" s="1" t="s">
        <v>38</v>
      </c>
      <c r="K48" s="1" t="s">
        <v>39</v>
      </c>
      <c r="L48" s="1" t="s">
        <v>35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>
        <f ca="1">IF(Table1[[#This Row],[Inactive_Date]]="",DATEDIF(Table1[[#This Row],[Date_Acq]],TODAY(),"m"),DATEDIF(Table1[[#This Row],[Date_Acq]],Table1[[#This Row],[Inactive_Date]],"m"))</f>
        <v>129</v>
      </c>
    </row>
    <row r="49" spans="1:26" s="16" customFormat="1" x14ac:dyDescent="0.4">
      <c r="A49" s="6"/>
      <c r="B49" s="7"/>
      <c r="C49" s="4">
        <v>38765</v>
      </c>
      <c r="D49" s="1" t="s">
        <v>137</v>
      </c>
      <c r="E49" s="1" t="s">
        <v>138</v>
      </c>
      <c r="F49" s="1" t="s">
        <v>138</v>
      </c>
      <c r="G49" s="1">
        <v>1332</v>
      </c>
      <c r="H49" s="21">
        <v>2478</v>
      </c>
      <c r="I49" s="21" t="s">
        <v>13</v>
      </c>
      <c r="J49" s="1" t="s">
        <v>38</v>
      </c>
      <c r="K49" s="1" t="s">
        <v>39</v>
      </c>
      <c r="L49" s="1" t="s">
        <v>35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>
        <f ca="1">IF(Table1[[#This Row],[Inactive_Date]]="",DATEDIF(Table1[[#This Row],[Date_Acq]],TODAY(),"m"),DATEDIF(Table1[[#This Row],[Date_Acq]],Table1[[#This Row],[Inactive_Date]],"m"))</f>
        <v>129</v>
      </c>
    </row>
    <row r="50" spans="1:26" s="16" customFormat="1" x14ac:dyDescent="0.4">
      <c r="A50" s="6"/>
      <c r="B50" s="7"/>
      <c r="C50" s="4">
        <v>38783</v>
      </c>
      <c r="D50" s="1" t="s">
        <v>139</v>
      </c>
      <c r="E50" s="1" t="s">
        <v>140</v>
      </c>
      <c r="F50" s="1" t="s">
        <v>141</v>
      </c>
      <c r="G50" s="1">
        <v>10629</v>
      </c>
      <c r="H50" s="21">
        <v>2479</v>
      </c>
      <c r="I50" s="21" t="s">
        <v>13</v>
      </c>
      <c r="J50" s="1" t="s">
        <v>73</v>
      </c>
      <c r="K50" s="1" t="s">
        <v>142</v>
      </c>
      <c r="L50" s="1" t="s">
        <v>35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>
        <f ca="1">IF(Table1[[#This Row],[Inactive_Date]]="",DATEDIF(Table1[[#This Row],[Date_Acq]],TODAY(),"m"),DATEDIF(Table1[[#This Row],[Date_Acq]],Table1[[#This Row],[Inactive_Date]],"m"))</f>
        <v>128</v>
      </c>
    </row>
    <row r="51" spans="1:26" s="16" customFormat="1" x14ac:dyDescent="0.4">
      <c r="A51" s="6"/>
      <c r="B51" s="7"/>
      <c r="C51" s="4">
        <v>38784</v>
      </c>
      <c r="D51" s="1" t="s">
        <v>143</v>
      </c>
      <c r="E51" s="1" t="s">
        <v>144</v>
      </c>
      <c r="F51" s="1" t="s">
        <v>145</v>
      </c>
      <c r="G51" s="1">
        <v>72500</v>
      </c>
      <c r="H51" s="21">
        <v>2479</v>
      </c>
      <c r="I51" s="21" t="s">
        <v>13</v>
      </c>
      <c r="J51" s="1" t="s">
        <v>55</v>
      </c>
      <c r="K51" s="1" t="s">
        <v>142</v>
      </c>
      <c r="L51" s="1" t="s">
        <v>35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>
        <f ca="1">IF(Table1[[#This Row],[Inactive_Date]]="",DATEDIF(Table1[[#This Row],[Date_Acq]],TODAY(),"m"),DATEDIF(Table1[[#This Row],[Date_Acq]],Table1[[#This Row],[Inactive_Date]],"m"))</f>
        <v>128</v>
      </c>
    </row>
    <row r="52" spans="1:26" s="16" customFormat="1" x14ac:dyDescent="0.4">
      <c r="A52" s="6"/>
      <c r="B52" s="7"/>
      <c r="C52" s="4">
        <v>38791</v>
      </c>
      <c r="D52" s="1" t="s">
        <v>146</v>
      </c>
      <c r="E52" s="1" t="s">
        <v>147</v>
      </c>
      <c r="F52" s="1" t="s">
        <v>147</v>
      </c>
      <c r="G52" s="1">
        <v>18817</v>
      </c>
      <c r="H52" s="21">
        <v>2479</v>
      </c>
      <c r="I52" s="21" t="s">
        <v>13</v>
      </c>
      <c r="J52" s="1" t="s">
        <v>73</v>
      </c>
      <c r="K52" s="1" t="s">
        <v>142</v>
      </c>
      <c r="L52" s="1" t="s">
        <v>35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>
        <f ca="1">IF(Table1[[#This Row],[Inactive_Date]]="",DATEDIF(Table1[[#This Row],[Date_Acq]],TODAY(),"m"),DATEDIF(Table1[[#This Row],[Date_Acq]],Table1[[#This Row],[Inactive_Date]],"m"))</f>
        <v>128</v>
      </c>
    </row>
    <row r="53" spans="1:26" s="16" customFormat="1" x14ac:dyDescent="0.4">
      <c r="A53" s="6"/>
      <c r="B53" s="7"/>
      <c r="C53" s="4">
        <v>38791</v>
      </c>
      <c r="D53" s="1" t="s">
        <v>148</v>
      </c>
      <c r="E53" s="1" t="s">
        <v>149</v>
      </c>
      <c r="F53" s="1" t="s">
        <v>149</v>
      </c>
      <c r="G53" s="1">
        <v>1822</v>
      </c>
      <c r="H53" s="21">
        <v>2476</v>
      </c>
      <c r="I53" s="21" t="s">
        <v>13</v>
      </c>
      <c r="J53" s="1" t="s">
        <v>55</v>
      </c>
      <c r="K53" s="1" t="s">
        <v>56</v>
      </c>
      <c r="L53" s="1" t="s">
        <v>35</v>
      </c>
      <c r="M53" s="1"/>
      <c r="N53" s="1" t="s">
        <v>150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>
        <f ca="1">IF(Table1[[#This Row],[Inactive_Date]]="",DATEDIF(Table1[[#This Row],[Date_Acq]],TODAY(),"m"),DATEDIF(Table1[[#This Row],[Date_Acq]],Table1[[#This Row],[Inactive_Date]],"m"))</f>
        <v>128</v>
      </c>
    </row>
    <row r="54" spans="1:26" s="16" customFormat="1" x14ac:dyDescent="0.4">
      <c r="A54" s="6"/>
      <c r="B54" s="7"/>
      <c r="C54" s="4">
        <v>38791</v>
      </c>
      <c r="D54" s="1" t="s">
        <v>148</v>
      </c>
      <c r="E54" s="1" t="s">
        <v>151</v>
      </c>
      <c r="F54" s="1" t="s">
        <v>151</v>
      </c>
      <c r="G54" s="1">
        <v>1904</v>
      </c>
      <c r="H54" s="21">
        <v>2476</v>
      </c>
      <c r="I54" s="21" t="s">
        <v>13</v>
      </c>
      <c r="J54" s="1" t="s">
        <v>55</v>
      </c>
      <c r="K54" s="1" t="s">
        <v>56</v>
      </c>
      <c r="L54" s="1" t="s">
        <v>35</v>
      </c>
      <c r="M54" s="1"/>
      <c r="N54" s="1" t="s">
        <v>150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>
        <f ca="1">IF(Table1[[#This Row],[Inactive_Date]]="",DATEDIF(Table1[[#This Row],[Date_Acq]],TODAY(),"m"),DATEDIF(Table1[[#This Row],[Date_Acq]],Table1[[#This Row],[Inactive_Date]],"m"))</f>
        <v>128</v>
      </c>
    </row>
    <row r="55" spans="1:26" s="16" customFormat="1" x14ac:dyDescent="0.4">
      <c r="A55" s="6"/>
      <c r="B55" s="7"/>
      <c r="C55" s="4">
        <v>38791</v>
      </c>
      <c r="D55" s="1" t="s">
        <v>148</v>
      </c>
      <c r="E55" s="1" t="s">
        <v>152</v>
      </c>
      <c r="F55" s="1" t="s">
        <v>152</v>
      </c>
      <c r="G55" s="1">
        <v>3498</v>
      </c>
      <c r="H55" s="21">
        <v>2476</v>
      </c>
      <c r="I55" s="21" t="s">
        <v>13</v>
      </c>
      <c r="J55" s="1" t="s">
        <v>55</v>
      </c>
      <c r="K55" s="1" t="s">
        <v>56</v>
      </c>
      <c r="L55" s="1" t="s">
        <v>35</v>
      </c>
      <c r="M55" s="1"/>
      <c r="N55" s="1" t="s">
        <v>150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>
        <f ca="1">IF(Table1[[#This Row],[Inactive_Date]]="",DATEDIF(Table1[[#This Row],[Date_Acq]],TODAY(),"m"),DATEDIF(Table1[[#This Row],[Date_Acq]],Table1[[#This Row],[Inactive_Date]],"m"))</f>
        <v>128</v>
      </c>
    </row>
    <row r="56" spans="1:26" s="16" customFormat="1" x14ac:dyDescent="0.4">
      <c r="A56" s="6"/>
      <c r="B56" s="7"/>
      <c r="C56" s="4">
        <v>38791</v>
      </c>
      <c r="D56" s="1" t="s">
        <v>148</v>
      </c>
      <c r="E56" s="1" t="s">
        <v>153</v>
      </c>
      <c r="F56" s="1" t="s">
        <v>153</v>
      </c>
      <c r="G56" s="1">
        <v>3150</v>
      </c>
      <c r="H56" s="21">
        <v>2476</v>
      </c>
      <c r="I56" s="21" t="s">
        <v>13</v>
      </c>
      <c r="J56" s="1" t="s">
        <v>55</v>
      </c>
      <c r="K56" s="1" t="s">
        <v>56</v>
      </c>
      <c r="L56" s="1" t="s">
        <v>35</v>
      </c>
      <c r="M56" s="1"/>
      <c r="N56" s="1" t="s">
        <v>150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>
        <f ca="1">IF(Table1[[#This Row],[Inactive_Date]]="",DATEDIF(Table1[[#This Row],[Date_Acq]],TODAY(),"m"),DATEDIF(Table1[[#This Row],[Date_Acq]],Table1[[#This Row],[Inactive_Date]],"m"))</f>
        <v>128</v>
      </c>
    </row>
    <row r="57" spans="1:26" s="16" customFormat="1" x14ac:dyDescent="0.4">
      <c r="A57" s="6"/>
      <c r="B57" s="7"/>
      <c r="C57" s="4">
        <v>38791</v>
      </c>
      <c r="D57" s="1" t="s">
        <v>154</v>
      </c>
      <c r="E57" s="1" t="s">
        <v>155</v>
      </c>
      <c r="F57" s="1" t="s">
        <v>155</v>
      </c>
      <c r="G57" s="1">
        <v>799</v>
      </c>
      <c r="H57" s="21">
        <v>2476</v>
      </c>
      <c r="I57" s="21" t="s">
        <v>13</v>
      </c>
      <c r="J57" s="1" t="s">
        <v>55</v>
      </c>
      <c r="K57" s="1" t="s">
        <v>56</v>
      </c>
      <c r="L57" s="1" t="s">
        <v>35</v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>
        <f ca="1">IF(Table1[[#This Row],[Inactive_Date]]="",DATEDIF(Table1[[#This Row],[Date_Acq]],TODAY(),"m"),DATEDIF(Table1[[#This Row],[Date_Acq]],Table1[[#This Row],[Inactive_Date]],"m"))</f>
        <v>128</v>
      </c>
    </row>
    <row r="58" spans="1:26" s="16" customFormat="1" x14ac:dyDescent="0.4">
      <c r="A58" s="6"/>
      <c r="B58" s="7"/>
      <c r="C58" s="4">
        <v>38791</v>
      </c>
      <c r="D58" s="1" t="s">
        <v>148</v>
      </c>
      <c r="E58" s="1" t="s">
        <v>156</v>
      </c>
      <c r="F58" s="1" t="s">
        <v>156</v>
      </c>
      <c r="G58" s="1">
        <v>37924.800000000003</v>
      </c>
      <c r="H58" s="21">
        <v>2476</v>
      </c>
      <c r="I58" s="21" t="s">
        <v>13</v>
      </c>
      <c r="J58" s="1" t="s">
        <v>55</v>
      </c>
      <c r="K58" s="1" t="s">
        <v>56</v>
      </c>
      <c r="L58" s="1" t="s">
        <v>35</v>
      </c>
      <c r="M58" s="1"/>
      <c r="N58" s="1" t="s">
        <v>150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>
        <f ca="1">IF(Table1[[#This Row],[Inactive_Date]]="",DATEDIF(Table1[[#This Row],[Date_Acq]],TODAY(),"m"),DATEDIF(Table1[[#This Row],[Date_Acq]],Table1[[#This Row],[Inactive_Date]],"m"))</f>
        <v>128</v>
      </c>
    </row>
    <row r="59" spans="1:26" s="16" customFormat="1" x14ac:dyDescent="0.4">
      <c r="A59" s="6"/>
      <c r="B59" s="7"/>
      <c r="C59" s="4">
        <v>38791</v>
      </c>
      <c r="D59" s="1" t="s">
        <v>148</v>
      </c>
      <c r="E59" s="1" t="s">
        <v>157</v>
      </c>
      <c r="F59" s="1" t="s">
        <v>157</v>
      </c>
      <c r="G59" s="1">
        <v>8994</v>
      </c>
      <c r="H59" s="21">
        <v>2476</v>
      </c>
      <c r="I59" s="21" t="s">
        <v>13</v>
      </c>
      <c r="J59" s="1" t="s">
        <v>55</v>
      </c>
      <c r="K59" s="1" t="s">
        <v>56</v>
      </c>
      <c r="L59" s="1" t="s">
        <v>35</v>
      </c>
      <c r="M59" s="1"/>
      <c r="N59" s="1" t="s">
        <v>150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>
        <f ca="1">IF(Table1[[#This Row],[Inactive_Date]]="",DATEDIF(Table1[[#This Row],[Date_Acq]],TODAY(),"m"),DATEDIF(Table1[[#This Row],[Date_Acq]],Table1[[#This Row],[Inactive_Date]],"m"))</f>
        <v>128</v>
      </c>
    </row>
    <row r="60" spans="1:26" s="16" customFormat="1" x14ac:dyDescent="0.4">
      <c r="A60" s="6"/>
      <c r="B60" s="7"/>
      <c r="C60" s="4">
        <v>38791</v>
      </c>
      <c r="D60" s="1" t="s">
        <v>148</v>
      </c>
      <c r="E60" s="1" t="s">
        <v>158</v>
      </c>
      <c r="F60" s="1" t="s">
        <v>158</v>
      </c>
      <c r="G60" s="1">
        <v>38974</v>
      </c>
      <c r="H60" s="21">
        <v>2476</v>
      </c>
      <c r="I60" s="21" t="s">
        <v>13</v>
      </c>
      <c r="J60" s="1" t="s">
        <v>55</v>
      </c>
      <c r="K60" s="1" t="s">
        <v>56</v>
      </c>
      <c r="L60" s="1" t="s">
        <v>35</v>
      </c>
      <c r="M60" s="1"/>
      <c r="N60" s="1" t="s">
        <v>150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>
        <f ca="1">IF(Table1[[#This Row],[Inactive_Date]]="",DATEDIF(Table1[[#This Row],[Date_Acq]],TODAY(),"m"),DATEDIF(Table1[[#This Row],[Date_Acq]],Table1[[#This Row],[Inactive_Date]],"m"))</f>
        <v>128</v>
      </c>
    </row>
    <row r="61" spans="1:26" s="16" customFormat="1" x14ac:dyDescent="0.4">
      <c r="A61" s="6"/>
      <c r="B61" s="7"/>
      <c r="C61" s="4">
        <v>38791</v>
      </c>
      <c r="D61" s="1" t="s">
        <v>148</v>
      </c>
      <c r="E61" s="1" t="s">
        <v>159</v>
      </c>
      <c r="F61" s="1" t="s">
        <v>159</v>
      </c>
      <c r="G61" s="1">
        <v>4400</v>
      </c>
      <c r="H61" s="21">
        <v>2476</v>
      </c>
      <c r="I61" s="21" t="s">
        <v>13</v>
      </c>
      <c r="J61" s="1" t="s">
        <v>55</v>
      </c>
      <c r="K61" s="1" t="s">
        <v>56</v>
      </c>
      <c r="L61" s="1" t="s">
        <v>35</v>
      </c>
      <c r="M61" s="1"/>
      <c r="N61" s="1" t="s">
        <v>150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>
        <f ca="1">IF(Table1[[#This Row],[Inactive_Date]]="",DATEDIF(Table1[[#This Row],[Date_Acq]],TODAY(),"m"),DATEDIF(Table1[[#This Row],[Date_Acq]],Table1[[#This Row],[Inactive_Date]],"m"))</f>
        <v>128</v>
      </c>
    </row>
    <row r="62" spans="1:26" s="16" customFormat="1" x14ac:dyDescent="0.4">
      <c r="A62" s="6"/>
      <c r="B62" s="7"/>
      <c r="C62" s="4">
        <v>38791</v>
      </c>
      <c r="D62" s="1" t="s">
        <v>148</v>
      </c>
      <c r="E62" s="1" t="s">
        <v>160</v>
      </c>
      <c r="F62" s="1" t="s">
        <v>160</v>
      </c>
      <c r="G62" s="1">
        <v>7624</v>
      </c>
      <c r="H62" s="21">
        <v>2476</v>
      </c>
      <c r="I62" s="21" t="s">
        <v>13</v>
      </c>
      <c r="J62" s="1" t="s">
        <v>55</v>
      </c>
      <c r="K62" s="1" t="s">
        <v>56</v>
      </c>
      <c r="L62" s="1" t="s">
        <v>35</v>
      </c>
      <c r="M62" s="1"/>
      <c r="N62" s="1" t="s">
        <v>150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>
        <f ca="1">IF(Table1[[#This Row],[Inactive_Date]]="",DATEDIF(Table1[[#This Row],[Date_Acq]],TODAY(),"m"),DATEDIF(Table1[[#This Row],[Date_Acq]],Table1[[#This Row],[Inactive_Date]],"m"))</f>
        <v>128</v>
      </c>
    </row>
    <row r="63" spans="1:26" s="16" customFormat="1" x14ac:dyDescent="0.4">
      <c r="A63" s="6"/>
      <c r="B63" s="7"/>
      <c r="C63" s="4">
        <v>38791</v>
      </c>
      <c r="D63" s="1" t="s">
        <v>148</v>
      </c>
      <c r="E63" s="1" t="s">
        <v>161</v>
      </c>
      <c r="F63" s="1" t="s">
        <v>161</v>
      </c>
      <c r="G63" s="1">
        <v>6755</v>
      </c>
      <c r="H63" s="21">
        <v>2476</v>
      </c>
      <c r="I63" s="21" t="s">
        <v>13</v>
      </c>
      <c r="J63" s="1" t="s">
        <v>55</v>
      </c>
      <c r="K63" s="1" t="s">
        <v>56</v>
      </c>
      <c r="L63" s="1" t="s">
        <v>35</v>
      </c>
      <c r="M63" s="1"/>
      <c r="N63" s="1" t="s">
        <v>150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>
        <f ca="1">IF(Table1[[#This Row],[Inactive_Date]]="",DATEDIF(Table1[[#This Row],[Date_Acq]],TODAY(),"m"),DATEDIF(Table1[[#This Row],[Date_Acq]],Table1[[#This Row],[Inactive_Date]],"m"))</f>
        <v>128</v>
      </c>
    </row>
    <row r="64" spans="1:26" s="16" customFormat="1" x14ac:dyDescent="0.4">
      <c r="A64" s="6"/>
      <c r="B64" s="7"/>
      <c r="C64" s="4">
        <v>38793</v>
      </c>
      <c r="D64" s="1" t="s">
        <v>162</v>
      </c>
      <c r="E64" s="1" t="s">
        <v>163</v>
      </c>
      <c r="F64" s="1" t="s">
        <v>164</v>
      </c>
      <c r="G64" s="1">
        <v>2144</v>
      </c>
      <c r="H64" s="21">
        <v>2476</v>
      </c>
      <c r="I64" s="21" t="s">
        <v>13</v>
      </c>
      <c r="J64" s="1" t="s">
        <v>33</v>
      </c>
      <c r="K64" s="1" t="s">
        <v>39</v>
      </c>
      <c r="L64" s="1" t="s">
        <v>35</v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>
        <f ca="1">IF(Table1[[#This Row],[Inactive_Date]]="",DATEDIF(Table1[[#This Row],[Date_Acq]],TODAY(),"m"),DATEDIF(Table1[[#This Row],[Date_Acq]],Table1[[#This Row],[Inactive_Date]],"m"))</f>
        <v>128</v>
      </c>
    </row>
    <row r="65" spans="1:26" s="16" customFormat="1" x14ac:dyDescent="0.4">
      <c r="A65" s="6"/>
      <c r="B65" s="7"/>
      <c r="C65" s="4">
        <v>38799</v>
      </c>
      <c r="D65" s="1" t="s">
        <v>165</v>
      </c>
      <c r="E65" s="1" t="s">
        <v>166</v>
      </c>
      <c r="F65" s="1" t="s">
        <v>166</v>
      </c>
      <c r="G65" s="1">
        <v>3200</v>
      </c>
      <c r="H65" s="21">
        <v>2331</v>
      </c>
      <c r="I65" s="21" t="s">
        <v>167</v>
      </c>
      <c r="J65" s="1"/>
      <c r="K65" s="1" t="s">
        <v>39</v>
      </c>
      <c r="L65" s="1" t="s">
        <v>51</v>
      </c>
      <c r="M65" s="1"/>
      <c r="N65" s="1"/>
      <c r="O65" s="1"/>
      <c r="P65" s="1"/>
      <c r="Q65" s="1"/>
      <c r="R65" s="1"/>
      <c r="S65" s="1" t="s">
        <v>168</v>
      </c>
      <c r="T65" s="1"/>
      <c r="U65" s="1"/>
      <c r="V65" s="1"/>
      <c r="W65" s="1"/>
      <c r="X65" s="1"/>
      <c r="Y65" s="1"/>
      <c r="Z65" s="1">
        <f ca="1">IF(Table1[[#This Row],[Inactive_Date]]="",DATEDIF(Table1[[#This Row],[Date_Acq]],TODAY(),"m"),DATEDIF(Table1[[#This Row],[Date_Acq]],Table1[[#This Row],[Inactive_Date]],"m"))</f>
        <v>127</v>
      </c>
    </row>
    <row r="66" spans="1:26" s="16" customFormat="1" x14ac:dyDescent="0.4">
      <c r="A66" s="6"/>
      <c r="B66" s="7"/>
      <c r="C66" s="4">
        <v>38804</v>
      </c>
      <c r="D66" s="1" t="s">
        <v>169</v>
      </c>
      <c r="E66" s="1" t="s">
        <v>170</v>
      </c>
      <c r="F66" s="1" t="s">
        <v>171</v>
      </c>
      <c r="G66" s="1">
        <v>4222</v>
      </c>
      <c r="H66" s="21">
        <v>2479</v>
      </c>
      <c r="I66" s="21" t="s">
        <v>13</v>
      </c>
      <c r="J66" s="1" t="s">
        <v>73</v>
      </c>
      <c r="K66" s="1" t="s">
        <v>142</v>
      </c>
      <c r="L66" s="1" t="s">
        <v>35</v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>
        <f ca="1">IF(Table1[[#This Row],[Inactive_Date]]="",DATEDIF(Table1[[#This Row],[Date_Acq]],TODAY(),"m"),DATEDIF(Table1[[#This Row],[Date_Acq]],Table1[[#This Row],[Inactive_Date]],"m"))</f>
        <v>127</v>
      </c>
    </row>
    <row r="67" spans="1:26" s="16" customFormat="1" x14ac:dyDescent="0.4">
      <c r="A67" s="6"/>
      <c r="B67" s="7"/>
      <c r="C67" s="4">
        <v>38807</v>
      </c>
      <c r="D67" s="1" t="s">
        <v>113</v>
      </c>
      <c r="E67" s="1" t="s">
        <v>172</v>
      </c>
      <c r="F67" s="1" t="s">
        <v>172</v>
      </c>
      <c r="G67" s="1">
        <v>4472.74</v>
      </c>
      <c r="H67" s="21">
        <v>2331</v>
      </c>
      <c r="I67" s="21" t="s">
        <v>13</v>
      </c>
      <c r="J67" s="1"/>
      <c r="K67" s="1" t="s">
        <v>39</v>
      </c>
      <c r="L67" s="1" t="s">
        <v>51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>
        <f ca="1">IF(Table1[[#This Row],[Inactive_Date]]="",DATEDIF(Table1[[#This Row],[Date_Acq]],TODAY(),"m"),DATEDIF(Table1[[#This Row],[Date_Acq]],Table1[[#This Row],[Inactive_Date]],"m"))</f>
        <v>127</v>
      </c>
    </row>
    <row r="68" spans="1:26" s="16" customFormat="1" x14ac:dyDescent="0.4">
      <c r="A68" s="6"/>
      <c r="B68" s="7"/>
      <c r="C68" s="4">
        <v>38811</v>
      </c>
      <c r="D68" s="1" t="s">
        <v>173</v>
      </c>
      <c r="E68" s="1" t="s">
        <v>174</v>
      </c>
      <c r="F68" s="1" t="s">
        <v>174</v>
      </c>
      <c r="G68" s="1">
        <v>5884</v>
      </c>
      <c r="H68" s="21">
        <v>2479</v>
      </c>
      <c r="I68" s="21" t="s">
        <v>13</v>
      </c>
      <c r="J68" s="1" t="s">
        <v>33</v>
      </c>
      <c r="K68" s="1" t="s">
        <v>142</v>
      </c>
      <c r="L68" s="1" t="s">
        <v>35</v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>
        <f ca="1">IF(Table1[[#This Row],[Inactive_Date]]="",DATEDIF(Table1[[#This Row],[Date_Acq]],TODAY(),"m"),DATEDIF(Table1[[#This Row],[Date_Acq]],Table1[[#This Row],[Inactive_Date]],"m"))</f>
        <v>127</v>
      </c>
    </row>
    <row r="69" spans="1:26" s="16" customFormat="1" x14ac:dyDescent="0.4">
      <c r="A69" s="6"/>
      <c r="B69" s="7"/>
      <c r="C69" s="4">
        <v>38811</v>
      </c>
      <c r="D69" s="1" t="s">
        <v>175</v>
      </c>
      <c r="E69" s="1" t="s">
        <v>176</v>
      </c>
      <c r="F69" s="1" t="s">
        <v>176</v>
      </c>
      <c r="G69" s="1">
        <v>6500</v>
      </c>
      <c r="H69" s="21">
        <v>2475</v>
      </c>
      <c r="I69" s="21" t="s">
        <v>13</v>
      </c>
      <c r="J69" s="1" t="s">
        <v>73</v>
      </c>
      <c r="K69" s="1" t="s">
        <v>142</v>
      </c>
      <c r="L69" s="1" t="s">
        <v>35</v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>
        <f ca="1">IF(Table1[[#This Row],[Inactive_Date]]="",DATEDIF(Table1[[#This Row],[Date_Acq]],TODAY(),"m"),DATEDIF(Table1[[#This Row],[Date_Acq]],Table1[[#This Row],[Inactive_Date]],"m"))</f>
        <v>127</v>
      </c>
    </row>
    <row r="70" spans="1:26" s="16" customFormat="1" x14ac:dyDescent="0.4">
      <c r="A70" s="6"/>
      <c r="B70" s="7"/>
      <c r="C70" s="4">
        <v>38812</v>
      </c>
      <c r="D70" s="1" t="s">
        <v>177</v>
      </c>
      <c r="E70" s="1" t="s">
        <v>178</v>
      </c>
      <c r="F70" s="1" t="s">
        <v>178</v>
      </c>
      <c r="G70" s="1">
        <v>1269.99</v>
      </c>
      <c r="H70" s="21">
        <v>2476</v>
      </c>
      <c r="I70" s="21" t="s">
        <v>13</v>
      </c>
      <c r="J70" s="1" t="s">
        <v>55</v>
      </c>
      <c r="K70" s="1" t="s">
        <v>56</v>
      </c>
      <c r="L70" s="1" t="s">
        <v>35</v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>
        <f ca="1">IF(Table1[[#This Row],[Inactive_Date]]="",DATEDIF(Table1[[#This Row],[Date_Acq]],TODAY(),"m"),DATEDIF(Table1[[#This Row],[Date_Acq]],Table1[[#This Row],[Inactive_Date]],"m"))</f>
        <v>127</v>
      </c>
    </row>
    <row r="71" spans="1:26" s="16" customFormat="1" x14ac:dyDescent="0.4">
      <c r="A71" s="6"/>
      <c r="B71" s="7"/>
      <c r="C71" s="4">
        <v>38812</v>
      </c>
      <c r="D71" s="1" t="s">
        <v>177</v>
      </c>
      <c r="E71" s="1" t="s">
        <v>179</v>
      </c>
      <c r="F71" s="1" t="s">
        <v>179</v>
      </c>
      <c r="G71" s="1">
        <v>1435.98</v>
      </c>
      <c r="H71" s="21">
        <v>2476</v>
      </c>
      <c r="I71" s="21" t="s">
        <v>13</v>
      </c>
      <c r="J71" s="1" t="s">
        <v>55</v>
      </c>
      <c r="K71" s="1" t="s">
        <v>56</v>
      </c>
      <c r="L71" s="1" t="s">
        <v>35</v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>
        <f ca="1">IF(Table1[[#This Row],[Inactive_Date]]="",DATEDIF(Table1[[#This Row],[Date_Acq]],TODAY(),"m"),DATEDIF(Table1[[#This Row],[Date_Acq]],Table1[[#This Row],[Inactive_Date]],"m"))</f>
        <v>127</v>
      </c>
    </row>
    <row r="72" spans="1:26" s="16" customFormat="1" x14ac:dyDescent="0.4">
      <c r="A72" s="6"/>
      <c r="B72" s="7"/>
      <c r="C72" s="4">
        <v>38828</v>
      </c>
      <c r="D72" s="1" t="s">
        <v>180</v>
      </c>
      <c r="E72" s="1" t="s">
        <v>181</v>
      </c>
      <c r="F72" s="1" t="s">
        <v>181</v>
      </c>
      <c r="G72" s="1">
        <v>1034.95</v>
      </c>
      <c r="H72" s="21">
        <v>2476</v>
      </c>
      <c r="I72" s="21" t="s">
        <v>13</v>
      </c>
      <c r="J72" s="1" t="s">
        <v>55</v>
      </c>
      <c r="K72" s="1" t="s">
        <v>39</v>
      </c>
      <c r="L72" s="1" t="s">
        <v>35</v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>
        <f ca="1">IF(Table1[[#This Row],[Inactive_Date]]="",DATEDIF(Table1[[#This Row],[Date_Acq]],TODAY(),"m"),DATEDIF(Table1[[#This Row],[Date_Acq]],Table1[[#This Row],[Inactive_Date]],"m"))</f>
        <v>127</v>
      </c>
    </row>
    <row r="73" spans="1:26" s="16" customFormat="1" x14ac:dyDescent="0.4">
      <c r="A73" s="6"/>
      <c r="B73" s="7"/>
      <c r="C73" s="4">
        <v>38833</v>
      </c>
      <c r="D73" s="1" t="s">
        <v>182</v>
      </c>
      <c r="E73" s="1" t="s">
        <v>183</v>
      </c>
      <c r="F73" s="1" t="s">
        <v>184</v>
      </c>
      <c r="G73" s="1">
        <v>2998</v>
      </c>
      <c r="H73" s="21">
        <v>2476</v>
      </c>
      <c r="I73" s="21" t="s">
        <v>13</v>
      </c>
      <c r="J73" s="1" t="s">
        <v>55</v>
      </c>
      <c r="K73" s="1" t="s">
        <v>56</v>
      </c>
      <c r="L73" s="1" t="s">
        <v>35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>
        <f ca="1">IF(Table1[[#This Row],[Inactive_Date]]="",DATEDIF(Table1[[#This Row],[Date_Acq]],TODAY(),"m"),DATEDIF(Table1[[#This Row],[Date_Acq]],Table1[[#This Row],[Inactive_Date]],"m"))</f>
        <v>126</v>
      </c>
    </row>
    <row r="74" spans="1:26" s="16" customFormat="1" x14ac:dyDescent="0.4">
      <c r="A74" s="6"/>
      <c r="B74" s="7"/>
      <c r="C74" s="4">
        <v>38833</v>
      </c>
      <c r="D74" s="1" t="s">
        <v>182</v>
      </c>
      <c r="E74" s="1" t="s">
        <v>185</v>
      </c>
      <c r="F74" s="1" t="s">
        <v>185</v>
      </c>
      <c r="G74" s="1">
        <v>3596</v>
      </c>
      <c r="H74" s="21">
        <v>2476</v>
      </c>
      <c r="I74" s="21" t="s">
        <v>13</v>
      </c>
      <c r="J74" s="1" t="s">
        <v>55</v>
      </c>
      <c r="K74" s="1" t="s">
        <v>56</v>
      </c>
      <c r="L74" s="1" t="s">
        <v>35</v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>
        <f ca="1">IF(Table1[[#This Row],[Inactive_Date]]="",DATEDIF(Table1[[#This Row],[Date_Acq]],TODAY(),"m"),DATEDIF(Table1[[#This Row],[Date_Acq]],Table1[[#This Row],[Inactive_Date]],"m"))</f>
        <v>126</v>
      </c>
    </row>
    <row r="75" spans="1:26" s="16" customFormat="1" x14ac:dyDescent="0.4">
      <c r="A75" s="6"/>
      <c r="B75" s="7"/>
      <c r="C75" s="4">
        <v>38841</v>
      </c>
      <c r="D75" s="1" t="s">
        <v>186</v>
      </c>
      <c r="E75" s="1" t="s">
        <v>187</v>
      </c>
      <c r="F75" s="1" t="s">
        <v>188</v>
      </c>
      <c r="G75" s="1">
        <v>500</v>
      </c>
      <c r="H75" s="21">
        <v>2479</v>
      </c>
      <c r="I75" s="21" t="s">
        <v>13</v>
      </c>
      <c r="J75" s="1" t="s">
        <v>33</v>
      </c>
      <c r="K75" s="1" t="s">
        <v>39</v>
      </c>
      <c r="L75" s="1" t="s">
        <v>35</v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>
        <f ca="1">IF(Table1[[#This Row],[Inactive_Date]]="",DATEDIF(Table1[[#This Row],[Date_Acq]],TODAY(),"m"),DATEDIF(Table1[[#This Row],[Date_Acq]],Table1[[#This Row],[Inactive_Date]],"m"))</f>
        <v>126</v>
      </c>
    </row>
    <row r="76" spans="1:26" s="16" customFormat="1" x14ac:dyDescent="0.4">
      <c r="A76" s="6"/>
      <c r="B76" s="7"/>
      <c r="C76" s="4">
        <v>38842</v>
      </c>
      <c r="D76" s="1" t="s">
        <v>189</v>
      </c>
      <c r="E76" s="1" t="s">
        <v>190</v>
      </c>
      <c r="F76" s="1" t="s">
        <v>190</v>
      </c>
      <c r="G76" s="1">
        <v>8120.88</v>
      </c>
      <c r="H76" s="21">
        <v>2478</v>
      </c>
      <c r="I76" s="21" t="s">
        <v>13</v>
      </c>
      <c r="J76" s="1" t="s">
        <v>38</v>
      </c>
      <c r="K76" s="1" t="s">
        <v>39</v>
      </c>
      <c r="L76" s="1" t="s">
        <v>35</v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>
        <f ca="1">IF(Table1[[#This Row],[Inactive_Date]]="",DATEDIF(Table1[[#This Row],[Date_Acq]],TODAY(),"m"),DATEDIF(Table1[[#This Row],[Date_Acq]],Table1[[#This Row],[Inactive_Date]],"m"))</f>
        <v>126</v>
      </c>
    </row>
    <row r="77" spans="1:26" s="16" customFormat="1" x14ac:dyDescent="0.4">
      <c r="A77" s="6"/>
      <c r="B77" s="7"/>
      <c r="C77" s="4">
        <v>38842</v>
      </c>
      <c r="D77" s="1" t="s">
        <v>191</v>
      </c>
      <c r="E77" s="1" t="s">
        <v>192</v>
      </c>
      <c r="F77" s="1" t="s">
        <v>192</v>
      </c>
      <c r="G77" s="1">
        <v>1886.46</v>
      </c>
      <c r="H77" s="21">
        <v>2478</v>
      </c>
      <c r="I77" s="21" t="s">
        <v>13</v>
      </c>
      <c r="J77" s="1" t="s">
        <v>38</v>
      </c>
      <c r="K77" s="1" t="s">
        <v>39</v>
      </c>
      <c r="L77" s="1" t="s">
        <v>35</v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>
        <f ca="1">IF(Table1[[#This Row],[Inactive_Date]]="",DATEDIF(Table1[[#This Row],[Date_Acq]],TODAY(),"m"),DATEDIF(Table1[[#This Row],[Date_Acq]],Table1[[#This Row],[Inactive_Date]],"m"))</f>
        <v>126</v>
      </c>
    </row>
    <row r="78" spans="1:26" s="16" customFormat="1" x14ac:dyDescent="0.4">
      <c r="A78" s="6"/>
      <c r="B78" s="7"/>
      <c r="C78" s="4">
        <v>38842</v>
      </c>
      <c r="D78" s="1" t="s">
        <v>189</v>
      </c>
      <c r="E78" s="1" t="s">
        <v>193</v>
      </c>
      <c r="F78" s="1" t="s">
        <v>193</v>
      </c>
      <c r="G78" s="1">
        <v>22498.42</v>
      </c>
      <c r="H78" s="21">
        <v>2478</v>
      </c>
      <c r="I78" s="21" t="s">
        <v>13</v>
      </c>
      <c r="J78" s="1" t="s">
        <v>38</v>
      </c>
      <c r="K78" s="1" t="s">
        <v>39</v>
      </c>
      <c r="L78" s="1" t="s">
        <v>35</v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>
        <f ca="1">IF(Table1[[#This Row],[Inactive_Date]]="",DATEDIF(Table1[[#This Row],[Date_Acq]],TODAY(),"m"),DATEDIF(Table1[[#This Row],[Date_Acq]],Table1[[#This Row],[Inactive_Date]],"m"))</f>
        <v>126</v>
      </c>
    </row>
    <row r="79" spans="1:26" s="16" customFormat="1" x14ac:dyDescent="0.4">
      <c r="A79" s="6"/>
      <c r="B79" s="7"/>
      <c r="C79" s="4">
        <v>38842</v>
      </c>
      <c r="D79" s="1" t="s">
        <v>189</v>
      </c>
      <c r="E79" s="1" t="s">
        <v>194</v>
      </c>
      <c r="F79" s="1" t="s">
        <v>194</v>
      </c>
      <c r="G79" s="1">
        <v>65774.600000000006</v>
      </c>
      <c r="H79" s="21">
        <v>2478</v>
      </c>
      <c r="I79" s="21" t="s">
        <v>13</v>
      </c>
      <c r="J79" s="1" t="s">
        <v>38</v>
      </c>
      <c r="K79" s="1" t="s">
        <v>39</v>
      </c>
      <c r="L79" s="1" t="s">
        <v>35</v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>
        <f ca="1">IF(Table1[[#This Row],[Inactive_Date]]="",DATEDIF(Table1[[#This Row],[Date_Acq]],TODAY(),"m"),DATEDIF(Table1[[#This Row],[Date_Acq]],Table1[[#This Row],[Inactive_Date]],"m"))</f>
        <v>126</v>
      </c>
    </row>
    <row r="80" spans="1:26" s="16" customFormat="1" x14ac:dyDescent="0.4">
      <c r="A80" s="6"/>
      <c r="B80" s="7"/>
      <c r="C80" s="4">
        <v>38842</v>
      </c>
      <c r="D80" s="1" t="s">
        <v>189</v>
      </c>
      <c r="E80" s="1" t="s">
        <v>195</v>
      </c>
      <c r="F80" s="1" t="s">
        <v>195</v>
      </c>
      <c r="G80" s="1">
        <v>6365.36</v>
      </c>
      <c r="H80" s="21">
        <v>2478</v>
      </c>
      <c r="I80" s="21" t="s">
        <v>13</v>
      </c>
      <c r="J80" s="1" t="s">
        <v>38</v>
      </c>
      <c r="K80" s="1" t="s">
        <v>39</v>
      </c>
      <c r="L80" s="1" t="s">
        <v>35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>
        <f ca="1">IF(Table1[[#This Row],[Inactive_Date]]="",DATEDIF(Table1[[#This Row],[Date_Acq]],TODAY(),"m"),DATEDIF(Table1[[#This Row],[Date_Acq]],Table1[[#This Row],[Inactive_Date]],"m"))</f>
        <v>126</v>
      </c>
    </row>
    <row r="81" spans="1:26" s="16" customFormat="1" x14ac:dyDescent="0.4">
      <c r="A81" s="6"/>
      <c r="B81" s="7"/>
      <c r="C81" s="4">
        <v>38842</v>
      </c>
      <c r="D81" s="1" t="s">
        <v>189</v>
      </c>
      <c r="E81" s="1" t="s">
        <v>196</v>
      </c>
      <c r="F81" s="1" t="s">
        <v>196</v>
      </c>
      <c r="G81" s="1">
        <v>108912.21</v>
      </c>
      <c r="H81" s="21">
        <v>2478</v>
      </c>
      <c r="I81" s="21" t="s">
        <v>13</v>
      </c>
      <c r="J81" s="1" t="s">
        <v>38</v>
      </c>
      <c r="K81" s="1" t="s">
        <v>39</v>
      </c>
      <c r="L81" s="1" t="s">
        <v>35</v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>
        <f ca="1">IF(Table1[[#This Row],[Inactive_Date]]="",DATEDIF(Table1[[#This Row],[Date_Acq]],TODAY(),"m"),DATEDIF(Table1[[#This Row],[Date_Acq]],Table1[[#This Row],[Inactive_Date]],"m"))</f>
        <v>126</v>
      </c>
    </row>
    <row r="82" spans="1:26" s="16" customFormat="1" x14ac:dyDescent="0.4">
      <c r="A82" s="6"/>
      <c r="B82" s="7"/>
      <c r="C82" s="4">
        <v>38854</v>
      </c>
      <c r="D82" s="1" t="s">
        <v>197</v>
      </c>
      <c r="E82" s="1" t="s">
        <v>198</v>
      </c>
      <c r="F82" s="1" t="s">
        <v>198</v>
      </c>
      <c r="G82" s="1">
        <v>1080</v>
      </c>
      <c r="H82" s="21">
        <v>2476</v>
      </c>
      <c r="I82" s="21" t="s">
        <v>13</v>
      </c>
      <c r="J82" s="1" t="s">
        <v>55</v>
      </c>
      <c r="K82" s="1" t="s">
        <v>56</v>
      </c>
      <c r="L82" s="1" t="s">
        <v>35</v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>
        <f ca="1">IF(Table1[[#This Row],[Inactive_Date]]="",DATEDIF(Table1[[#This Row],[Date_Acq]],TODAY(),"m"),DATEDIF(Table1[[#This Row],[Date_Acq]],Table1[[#This Row],[Inactive_Date]],"m"))</f>
        <v>126</v>
      </c>
    </row>
    <row r="83" spans="1:26" s="16" customFormat="1" x14ac:dyDescent="0.4">
      <c r="A83" s="6"/>
      <c r="B83" s="7"/>
      <c r="C83" s="4">
        <v>38854</v>
      </c>
      <c r="D83" s="1" t="s">
        <v>199</v>
      </c>
      <c r="E83" s="1" t="s">
        <v>200</v>
      </c>
      <c r="F83" s="1" t="s">
        <v>200</v>
      </c>
      <c r="G83" s="1">
        <v>1526</v>
      </c>
      <c r="H83" s="21">
        <v>2476</v>
      </c>
      <c r="I83" s="21" t="s">
        <v>13</v>
      </c>
      <c r="J83" s="1" t="s">
        <v>33</v>
      </c>
      <c r="K83" s="1" t="s">
        <v>39</v>
      </c>
      <c r="L83" s="1" t="s">
        <v>35</v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>
        <f ca="1">IF(Table1[[#This Row],[Inactive_Date]]="",DATEDIF(Table1[[#This Row],[Date_Acq]],TODAY(),"m"),DATEDIF(Table1[[#This Row],[Date_Acq]],Table1[[#This Row],[Inactive_Date]],"m"))</f>
        <v>126</v>
      </c>
    </row>
    <row r="84" spans="1:26" s="16" customFormat="1" x14ac:dyDescent="0.4">
      <c r="A84" s="6"/>
      <c r="B84" s="7"/>
      <c r="C84" s="4">
        <v>38855</v>
      </c>
      <c r="D84" s="1"/>
      <c r="E84" s="1" t="s">
        <v>201</v>
      </c>
      <c r="F84" s="1" t="s">
        <v>201</v>
      </c>
      <c r="G84" s="1">
        <v>738</v>
      </c>
      <c r="H84" s="21">
        <v>2478</v>
      </c>
      <c r="I84" s="21" t="s">
        <v>13</v>
      </c>
      <c r="J84" s="1" t="s">
        <v>38</v>
      </c>
      <c r="K84" s="1" t="s">
        <v>39</v>
      </c>
      <c r="L84" s="1" t="s">
        <v>35</v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>
        <f ca="1">IF(Table1[[#This Row],[Inactive_Date]]="",DATEDIF(Table1[[#This Row],[Date_Acq]],TODAY(),"m"),DATEDIF(Table1[[#This Row],[Date_Acq]],Table1[[#This Row],[Inactive_Date]],"m"))</f>
        <v>126</v>
      </c>
    </row>
    <row r="85" spans="1:26" s="16" customFormat="1" x14ac:dyDescent="0.4">
      <c r="A85" s="6"/>
      <c r="B85" s="7"/>
      <c r="C85" s="4">
        <v>38855</v>
      </c>
      <c r="D85" s="1"/>
      <c r="E85" s="1" t="s">
        <v>202</v>
      </c>
      <c r="F85" s="1" t="s">
        <v>202</v>
      </c>
      <c r="G85" s="1">
        <v>649</v>
      </c>
      <c r="H85" s="21">
        <v>2478</v>
      </c>
      <c r="I85" s="21" t="s">
        <v>13</v>
      </c>
      <c r="J85" s="1" t="s">
        <v>38</v>
      </c>
      <c r="K85" s="1" t="s">
        <v>39</v>
      </c>
      <c r="L85" s="1" t="s">
        <v>35</v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>
        <f ca="1">IF(Table1[[#This Row],[Inactive_Date]]="",DATEDIF(Table1[[#This Row],[Date_Acq]],TODAY(),"m"),DATEDIF(Table1[[#This Row],[Date_Acq]],Table1[[#This Row],[Inactive_Date]],"m"))</f>
        <v>126</v>
      </c>
    </row>
    <row r="86" spans="1:26" s="16" customFormat="1" x14ac:dyDescent="0.4">
      <c r="A86" s="6"/>
      <c r="B86" s="7"/>
      <c r="C86" s="4">
        <v>38856</v>
      </c>
      <c r="D86" s="1" t="s">
        <v>203</v>
      </c>
      <c r="E86" s="1" t="s">
        <v>204</v>
      </c>
      <c r="F86" s="1" t="s">
        <v>204</v>
      </c>
      <c r="G86" s="1">
        <v>3225</v>
      </c>
      <c r="H86" s="21">
        <v>2479</v>
      </c>
      <c r="I86" s="21" t="s">
        <v>13</v>
      </c>
      <c r="J86" s="1" t="s">
        <v>33</v>
      </c>
      <c r="K86" s="1" t="s">
        <v>39</v>
      </c>
      <c r="L86" s="1" t="s">
        <v>35</v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>
        <f ca="1">IF(Table1[[#This Row],[Inactive_Date]]="",DATEDIF(Table1[[#This Row],[Date_Acq]],TODAY(),"m"),DATEDIF(Table1[[#This Row],[Date_Acq]],Table1[[#This Row],[Inactive_Date]],"m"))</f>
        <v>126</v>
      </c>
    </row>
    <row r="87" spans="1:26" s="16" customFormat="1" x14ac:dyDescent="0.4">
      <c r="A87" s="6"/>
      <c r="B87" s="7"/>
      <c r="C87" s="4">
        <v>38860</v>
      </c>
      <c r="D87" s="1"/>
      <c r="E87" s="1" t="s">
        <v>205</v>
      </c>
      <c r="F87" s="1" t="s">
        <v>205</v>
      </c>
      <c r="G87" s="1">
        <v>644</v>
      </c>
      <c r="H87" s="21">
        <v>2476</v>
      </c>
      <c r="I87" s="21" t="s">
        <v>13</v>
      </c>
      <c r="J87" s="1" t="s">
        <v>33</v>
      </c>
      <c r="K87" s="1" t="s">
        <v>39</v>
      </c>
      <c r="L87" s="1" t="s">
        <v>35</v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>
        <f ca="1">IF(Table1[[#This Row],[Inactive_Date]]="",DATEDIF(Table1[[#This Row],[Date_Acq]],TODAY(),"m"),DATEDIF(Table1[[#This Row],[Date_Acq]],Table1[[#This Row],[Inactive_Date]],"m"))</f>
        <v>125</v>
      </c>
    </row>
    <row r="88" spans="1:26" s="17" customFormat="1" x14ac:dyDescent="0.4">
      <c r="A88" s="6"/>
      <c r="B88" s="7"/>
      <c r="C88" s="4">
        <v>38863</v>
      </c>
      <c r="D88" s="2" t="s">
        <v>206</v>
      </c>
      <c r="E88" s="2" t="s">
        <v>207</v>
      </c>
      <c r="F88" s="2" t="s">
        <v>207</v>
      </c>
      <c r="G88" s="2">
        <v>621.45000000000005</v>
      </c>
      <c r="H88" s="21">
        <v>2479</v>
      </c>
      <c r="I88" s="21" t="s">
        <v>13</v>
      </c>
      <c r="J88" s="2" t="s">
        <v>46</v>
      </c>
      <c r="K88" s="2" t="s">
        <v>39</v>
      </c>
      <c r="L88" s="2" t="s">
        <v>35</v>
      </c>
      <c r="M88" s="2"/>
      <c r="N88" s="2"/>
      <c r="O88" s="2"/>
      <c r="P88" s="2"/>
      <c r="Q88" s="2"/>
      <c r="R88" s="1"/>
      <c r="S88" s="2"/>
      <c r="T88" s="1"/>
      <c r="U88" s="1"/>
      <c r="V88" s="2"/>
      <c r="W88" s="2"/>
      <c r="X88" s="2"/>
      <c r="Y88" s="2"/>
      <c r="Z88" s="1">
        <f ca="1">IF(Table1[[#This Row],[Inactive_Date]]="",DATEDIF(Table1[[#This Row],[Date_Acq]],TODAY(),"m"),DATEDIF(Table1[[#This Row],[Date_Acq]],Table1[[#This Row],[Inactive_Date]],"m"))</f>
        <v>125</v>
      </c>
    </row>
    <row r="89" spans="1:26" s="16" customFormat="1" x14ac:dyDescent="0.4">
      <c r="A89" s="6"/>
      <c r="B89" s="7"/>
      <c r="C89" s="4">
        <v>38865</v>
      </c>
      <c r="D89" s="1" t="s">
        <v>208</v>
      </c>
      <c r="E89" s="1" t="s">
        <v>209</v>
      </c>
      <c r="F89" s="1" t="s">
        <v>209</v>
      </c>
      <c r="G89" s="1">
        <v>1399</v>
      </c>
      <c r="H89" s="21">
        <v>2476</v>
      </c>
      <c r="I89" s="21" t="s">
        <v>13</v>
      </c>
      <c r="J89" s="1" t="s">
        <v>38</v>
      </c>
      <c r="K89" s="1" t="s">
        <v>39</v>
      </c>
      <c r="L89" s="1" t="s">
        <v>35</v>
      </c>
      <c r="M89" s="1"/>
      <c r="N89" s="1" t="s">
        <v>210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>
        <f ca="1">IF(Table1[[#This Row],[Inactive_Date]]="",DATEDIF(Table1[[#This Row],[Date_Acq]],TODAY(),"m"),DATEDIF(Table1[[#This Row],[Date_Acq]],Table1[[#This Row],[Inactive_Date]],"m"))</f>
        <v>125</v>
      </c>
    </row>
    <row r="90" spans="1:26" s="16" customFormat="1" x14ac:dyDescent="0.4">
      <c r="A90" s="6"/>
      <c r="B90" s="7"/>
      <c r="C90" s="4">
        <v>38868</v>
      </c>
      <c r="D90" s="1" t="s">
        <v>211</v>
      </c>
      <c r="E90" s="1" t="s">
        <v>212</v>
      </c>
      <c r="F90" s="1" t="s">
        <v>212</v>
      </c>
      <c r="G90" s="1">
        <v>850</v>
      </c>
      <c r="H90" s="21">
        <v>2476</v>
      </c>
      <c r="I90" s="21" t="s">
        <v>13</v>
      </c>
      <c r="J90" s="1" t="s">
        <v>55</v>
      </c>
      <c r="K90" s="1" t="s">
        <v>56</v>
      </c>
      <c r="L90" s="1" t="s">
        <v>35</v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>
        <f ca="1">IF(Table1[[#This Row],[Inactive_Date]]="",DATEDIF(Table1[[#This Row],[Date_Acq]],TODAY(),"m"),DATEDIF(Table1[[#This Row],[Date_Acq]],Table1[[#This Row],[Inactive_Date]],"m"))</f>
        <v>125</v>
      </c>
    </row>
    <row r="91" spans="1:26" s="16" customFormat="1" x14ac:dyDescent="0.4">
      <c r="A91" s="6"/>
      <c r="B91" s="7"/>
      <c r="C91" s="4">
        <v>38868</v>
      </c>
      <c r="D91" s="1" t="s">
        <v>213</v>
      </c>
      <c r="E91" s="1" t="s">
        <v>214</v>
      </c>
      <c r="F91" s="1" t="s">
        <v>214</v>
      </c>
      <c r="G91" s="1">
        <v>1275</v>
      </c>
      <c r="H91" s="21">
        <v>2476</v>
      </c>
      <c r="I91" s="21" t="s">
        <v>13</v>
      </c>
      <c r="J91" s="1" t="s">
        <v>38</v>
      </c>
      <c r="K91" s="1" t="s">
        <v>39</v>
      </c>
      <c r="L91" s="1" t="s">
        <v>35</v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>
        <f ca="1">IF(Table1[[#This Row],[Inactive_Date]]="",DATEDIF(Table1[[#This Row],[Date_Acq]],TODAY(),"m"),DATEDIF(Table1[[#This Row],[Date_Acq]],Table1[[#This Row],[Inactive_Date]],"m"))</f>
        <v>125</v>
      </c>
    </row>
    <row r="92" spans="1:26" s="16" customFormat="1" x14ac:dyDescent="0.4">
      <c r="A92" s="6"/>
      <c r="B92" s="7"/>
      <c r="C92" s="4">
        <v>38868</v>
      </c>
      <c r="D92" s="1" t="s">
        <v>215</v>
      </c>
      <c r="E92" s="1" t="s">
        <v>216</v>
      </c>
      <c r="F92" s="1" t="s">
        <v>216</v>
      </c>
      <c r="G92" s="1">
        <v>50610</v>
      </c>
      <c r="H92" s="21">
        <v>2478</v>
      </c>
      <c r="I92" s="21" t="s">
        <v>13</v>
      </c>
      <c r="J92" s="1" t="s">
        <v>38</v>
      </c>
      <c r="K92" s="1" t="s">
        <v>39</v>
      </c>
      <c r="L92" s="1" t="s">
        <v>35</v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>
        <f ca="1">IF(Table1[[#This Row],[Inactive_Date]]="",DATEDIF(Table1[[#This Row],[Date_Acq]],TODAY(),"m"),DATEDIF(Table1[[#This Row],[Date_Acq]],Table1[[#This Row],[Inactive_Date]],"m"))</f>
        <v>125</v>
      </c>
    </row>
    <row r="93" spans="1:26" s="16" customFormat="1" x14ac:dyDescent="0.4">
      <c r="A93" s="6"/>
      <c r="B93" s="7"/>
      <c r="C93" s="4">
        <v>38870</v>
      </c>
      <c r="D93" s="1" t="s">
        <v>217</v>
      </c>
      <c r="E93" s="1" t="s">
        <v>218</v>
      </c>
      <c r="F93" s="1" t="s">
        <v>219</v>
      </c>
      <c r="G93" s="1">
        <v>2416</v>
      </c>
      <c r="H93" s="21">
        <v>2476</v>
      </c>
      <c r="I93" s="21" t="s">
        <v>13</v>
      </c>
      <c r="J93" s="1" t="s">
        <v>55</v>
      </c>
      <c r="K93" s="1" t="s">
        <v>56</v>
      </c>
      <c r="L93" s="1" t="s">
        <v>35</v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>
        <f ca="1">IF(Table1[[#This Row],[Inactive_Date]]="",DATEDIF(Table1[[#This Row],[Date_Acq]],TODAY(),"m"),DATEDIF(Table1[[#This Row],[Date_Acq]],Table1[[#This Row],[Inactive_Date]],"m"))</f>
        <v>125</v>
      </c>
    </row>
    <row r="94" spans="1:26" s="16" customFormat="1" x14ac:dyDescent="0.4">
      <c r="A94" s="6"/>
      <c r="B94" s="7"/>
      <c r="C94" s="4">
        <v>38872</v>
      </c>
      <c r="D94" s="1" t="s">
        <v>89</v>
      </c>
      <c r="E94" s="1" t="s">
        <v>220</v>
      </c>
      <c r="F94" s="1" t="s">
        <v>220</v>
      </c>
      <c r="G94" s="1">
        <v>3495</v>
      </c>
      <c r="H94" s="21">
        <v>5684</v>
      </c>
      <c r="I94" s="21" t="s">
        <v>13</v>
      </c>
      <c r="J94" s="1" t="s">
        <v>73</v>
      </c>
      <c r="K94" s="1" t="s">
        <v>39</v>
      </c>
      <c r="L94" s="1" t="s">
        <v>35</v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>
        <f ca="1">IF(Table1[[#This Row],[Inactive_Date]]="",DATEDIF(Table1[[#This Row],[Date_Acq]],TODAY(),"m"),DATEDIF(Table1[[#This Row],[Date_Acq]],Table1[[#This Row],[Inactive_Date]],"m"))</f>
        <v>125</v>
      </c>
    </row>
    <row r="95" spans="1:26" s="16" customFormat="1" x14ac:dyDescent="0.4">
      <c r="A95" s="6"/>
      <c r="B95" s="7"/>
      <c r="C95" s="4">
        <v>38877</v>
      </c>
      <c r="D95" s="1" t="s">
        <v>221</v>
      </c>
      <c r="E95" s="1" t="s">
        <v>222</v>
      </c>
      <c r="F95" s="1" t="s">
        <v>222</v>
      </c>
      <c r="G95" s="1">
        <v>985</v>
      </c>
      <c r="H95" s="21">
        <v>2475</v>
      </c>
      <c r="I95" s="21" t="s">
        <v>13</v>
      </c>
      <c r="J95" s="1" t="s">
        <v>223</v>
      </c>
      <c r="K95" s="1" t="s">
        <v>39</v>
      </c>
      <c r="L95" s="1" t="s">
        <v>35</v>
      </c>
      <c r="M95" s="1"/>
      <c r="N95" s="1" t="s">
        <v>224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>
        <f ca="1">IF(Table1[[#This Row],[Inactive_Date]]="",DATEDIF(Table1[[#This Row],[Date_Acq]],TODAY(),"m"),DATEDIF(Table1[[#This Row],[Date_Acq]],Table1[[#This Row],[Inactive_Date]],"m"))</f>
        <v>125</v>
      </c>
    </row>
    <row r="96" spans="1:26" s="16" customFormat="1" x14ac:dyDescent="0.4">
      <c r="A96" s="6"/>
      <c r="B96" s="7"/>
      <c r="C96" s="4">
        <v>38877</v>
      </c>
      <c r="D96" s="1" t="s">
        <v>221</v>
      </c>
      <c r="E96" s="1" t="s">
        <v>222</v>
      </c>
      <c r="F96" s="1" t="s">
        <v>222</v>
      </c>
      <c r="G96" s="1">
        <v>985</v>
      </c>
      <c r="H96" s="21">
        <v>2475</v>
      </c>
      <c r="I96" s="21" t="s">
        <v>13</v>
      </c>
      <c r="J96" s="1" t="s">
        <v>223</v>
      </c>
      <c r="K96" s="1" t="s">
        <v>39</v>
      </c>
      <c r="L96" s="1" t="s">
        <v>35</v>
      </c>
      <c r="M96" s="1"/>
      <c r="N96" s="1" t="s">
        <v>224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>
        <f ca="1">IF(Table1[[#This Row],[Inactive_Date]]="",DATEDIF(Table1[[#This Row],[Date_Acq]],TODAY(),"m"),DATEDIF(Table1[[#This Row],[Date_Acq]],Table1[[#This Row],[Inactive_Date]],"m"))</f>
        <v>125</v>
      </c>
    </row>
    <row r="97" spans="1:26" s="16" customFormat="1" x14ac:dyDescent="0.4">
      <c r="A97" s="6"/>
      <c r="B97" s="7"/>
      <c r="C97" s="4">
        <v>38877</v>
      </c>
      <c r="D97" s="1" t="s">
        <v>221</v>
      </c>
      <c r="E97" s="1" t="s">
        <v>225</v>
      </c>
      <c r="F97" s="1" t="s">
        <v>226</v>
      </c>
      <c r="G97" s="1">
        <v>1370</v>
      </c>
      <c r="H97" s="21">
        <v>2475</v>
      </c>
      <c r="I97" s="21" t="s">
        <v>13</v>
      </c>
      <c r="J97" s="1" t="s">
        <v>65</v>
      </c>
      <c r="K97" s="1" t="s">
        <v>39</v>
      </c>
      <c r="L97" s="1" t="s">
        <v>35</v>
      </c>
      <c r="M97" s="1"/>
      <c r="N97" s="1" t="s">
        <v>227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>
        <f ca="1">IF(Table1[[#This Row],[Inactive_Date]]="",DATEDIF(Table1[[#This Row],[Date_Acq]],TODAY(),"m"),DATEDIF(Table1[[#This Row],[Date_Acq]],Table1[[#This Row],[Inactive_Date]],"m"))</f>
        <v>125</v>
      </c>
    </row>
    <row r="98" spans="1:26" s="16" customFormat="1" x14ac:dyDescent="0.4">
      <c r="A98" s="6"/>
      <c r="B98" s="7"/>
      <c r="C98" s="4">
        <v>38877</v>
      </c>
      <c r="D98" s="1" t="s">
        <v>221</v>
      </c>
      <c r="E98" s="1" t="s">
        <v>228</v>
      </c>
      <c r="F98" s="1" t="s">
        <v>228</v>
      </c>
      <c r="G98" s="1">
        <v>3170</v>
      </c>
      <c r="H98" s="21">
        <v>2475</v>
      </c>
      <c r="I98" s="21" t="s">
        <v>13</v>
      </c>
      <c r="J98" s="1" t="s">
        <v>65</v>
      </c>
      <c r="K98" s="1" t="s">
        <v>39</v>
      </c>
      <c r="L98" s="1" t="s">
        <v>35</v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>
        <f ca="1">IF(Table1[[#This Row],[Inactive_Date]]="",DATEDIF(Table1[[#This Row],[Date_Acq]],TODAY(),"m"),DATEDIF(Table1[[#This Row],[Date_Acq]],Table1[[#This Row],[Inactive_Date]],"m"))</f>
        <v>125</v>
      </c>
    </row>
    <row r="99" spans="1:26" s="16" customFormat="1" x14ac:dyDescent="0.4">
      <c r="A99" s="6"/>
      <c r="B99" s="7"/>
      <c r="C99" s="4">
        <v>38877</v>
      </c>
      <c r="D99" s="1" t="s">
        <v>221</v>
      </c>
      <c r="E99" s="1" t="s">
        <v>229</v>
      </c>
      <c r="F99" s="1" t="s">
        <v>229</v>
      </c>
      <c r="G99" s="1">
        <v>5490</v>
      </c>
      <c r="H99" s="21">
        <v>2475</v>
      </c>
      <c r="I99" s="21" t="s">
        <v>13</v>
      </c>
      <c r="J99" s="1" t="s">
        <v>65</v>
      </c>
      <c r="K99" s="1" t="s">
        <v>39</v>
      </c>
      <c r="L99" s="1" t="s">
        <v>35</v>
      </c>
      <c r="M99" s="1"/>
      <c r="N99" s="1" t="s">
        <v>230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>
        <f ca="1">IF(Table1[[#This Row],[Inactive_Date]]="",DATEDIF(Table1[[#This Row],[Date_Acq]],TODAY(),"m"),DATEDIF(Table1[[#This Row],[Date_Acq]],Table1[[#This Row],[Inactive_Date]],"m"))</f>
        <v>125</v>
      </c>
    </row>
    <row r="100" spans="1:26" s="16" customFormat="1" x14ac:dyDescent="0.4">
      <c r="A100" s="6"/>
      <c r="B100" s="7"/>
      <c r="C100" s="4">
        <v>38877</v>
      </c>
      <c r="D100" s="1" t="s">
        <v>221</v>
      </c>
      <c r="E100" s="1" t="s">
        <v>231</v>
      </c>
      <c r="F100" s="1" t="s">
        <v>231</v>
      </c>
      <c r="G100" s="1">
        <v>4620</v>
      </c>
      <c r="H100" s="21">
        <v>2475</v>
      </c>
      <c r="I100" s="21" t="s">
        <v>13</v>
      </c>
      <c r="J100" s="1" t="s">
        <v>65</v>
      </c>
      <c r="K100" s="1" t="s">
        <v>39</v>
      </c>
      <c r="L100" s="1" t="s">
        <v>35</v>
      </c>
      <c r="M100" s="1"/>
      <c r="N100" s="1" t="s">
        <v>230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>
        <f ca="1">IF(Table1[[#This Row],[Inactive_Date]]="",DATEDIF(Table1[[#This Row],[Date_Acq]],TODAY(),"m"),DATEDIF(Table1[[#This Row],[Date_Acq]],Table1[[#This Row],[Inactive_Date]],"m"))</f>
        <v>125</v>
      </c>
    </row>
    <row r="101" spans="1:26" s="16" customFormat="1" x14ac:dyDescent="0.4">
      <c r="A101" s="6"/>
      <c r="B101" s="7"/>
      <c r="C101" s="4">
        <v>38881</v>
      </c>
      <c r="D101" s="1"/>
      <c r="E101" s="1" t="s">
        <v>232</v>
      </c>
      <c r="F101" s="1" t="s">
        <v>232</v>
      </c>
      <c r="G101" s="1">
        <v>15054042.880000001</v>
      </c>
      <c r="H101" s="21">
        <v>15150</v>
      </c>
      <c r="I101" s="21" t="s">
        <v>13</v>
      </c>
      <c r="J101" s="1" t="s">
        <v>55</v>
      </c>
      <c r="K101" s="1" t="s">
        <v>142</v>
      </c>
      <c r="L101" s="1" t="s">
        <v>35</v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>
        <f ca="1">IF(Table1[[#This Row],[Inactive_Date]]="",DATEDIF(Table1[[#This Row],[Date_Acq]],TODAY(),"m"),DATEDIF(Table1[[#This Row],[Date_Acq]],Table1[[#This Row],[Inactive_Date]],"m"))</f>
        <v>125</v>
      </c>
    </row>
    <row r="102" spans="1:26" s="16" customFormat="1" x14ac:dyDescent="0.4">
      <c r="A102" s="6"/>
      <c r="B102" s="7"/>
      <c r="C102" s="4">
        <v>38883</v>
      </c>
      <c r="D102" s="1" t="s">
        <v>217</v>
      </c>
      <c r="E102" s="1" t="s">
        <v>233</v>
      </c>
      <c r="F102" s="1" t="s">
        <v>234</v>
      </c>
      <c r="G102" s="1">
        <v>2334</v>
      </c>
      <c r="H102" s="21">
        <v>2476</v>
      </c>
      <c r="I102" s="21" t="s">
        <v>13</v>
      </c>
      <c r="J102" s="1" t="s">
        <v>33</v>
      </c>
      <c r="K102" s="1" t="s">
        <v>56</v>
      </c>
      <c r="L102" s="1" t="s">
        <v>35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>
        <f ca="1">IF(Table1[[#This Row],[Inactive_Date]]="",DATEDIF(Table1[[#This Row],[Date_Acq]],TODAY(),"m"),DATEDIF(Table1[[#This Row],[Date_Acq]],Table1[[#This Row],[Inactive_Date]],"m"))</f>
        <v>125</v>
      </c>
    </row>
    <row r="103" spans="1:26" s="17" customFormat="1" x14ac:dyDescent="0.4">
      <c r="A103" s="6"/>
      <c r="B103" s="7"/>
      <c r="C103" s="4">
        <v>38888</v>
      </c>
      <c r="D103" s="2"/>
      <c r="E103" s="2" t="s">
        <v>235</v>
      </c>
      <c r="F103" s="2" t="s">
        <v>235</v>
      </c>
      <c r="G103" s="2">
        <v>1075.5</v>
      </c>
      <c r="H103" s="21">
        <v>5644</v>
      </c>
      <c r="I103" s="21" t="s">
        <v>13</v>
      </c>
      <c r="J103" s="2" t="s">
        <v>46</v>
      </c>
      <c r="K103" s="2" t="s">
        <v>39</v>
      </c>
      <c r="L103" s="2" t="s">
        <v>35</v>
      </c>
      <c r="M103" s="2"/>
      <c r="N103" s="2"/>
      <c r="O103" s="2"/>
      <c r="P103" s="2"/>
      <c r="Q103" s="2"/>
      <c r="R103" s="1"/>
      <c r="S103" s="2"/>
      <c r="T103" s="1"/>
      <c r="U103" s="1"/>
      <c r="V103" s="2"/>
      <c r="W103" s="2"/>
      <c r="X103" s="2"/>
      <c r="Y103" s="2"/>
      <c r="Z103" s="1">
        <f ca="1">IF(Table1[[#This Row],[Inactive_Date]]="",DATEDIF(Table1[[#This Row],[Date_Acq]],TODAY(),"m"),DATEDIF(Table1[[#This Row],[Date_Acq]],Table1[[#This Row],[Inactive_Date]],"m"))</f>
        <v>125</v>
      </c>
    </row>
    <row r="104" spans="1:26" s="16" customFormat="1" x14ac:dyDescent="0.4">
      <c r="A104" s="6"/>
      <c r="B104" s="7"/>
      <c r="C104" s="4">
        <v>38888</v>
      </c>
      <c r="D104" s="1" t="s">
        <v>236</v>
      </c>
      <c r="E104" s="1" t="s">
        <v>124</v>
      </c>
      <c r="F104" s="1" t="s">
        <v>124</v>
      </c>
      <c r="G104" s="1">
        <v>71440</v>
      </c>
      <c r="H104" s="21">
        <v>2479</v>
      </c>
      <c r="I104" s="21" t="s">
        <v>13</v>
      </c>
      <c r="J104" s="1" t="s">
        <v>33</v>
      </c>
      <c r="K104" s="1" t="s">
        <v>39</v>
      </c>
      <c r="L104" s="1" t="s">
        <v>35</v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>
        <f ca="1">IF(Table1[[#This Row],[Inactive_Date]]="",DATEDIF(Table1[[#This Row],[Date_Acq]],TODAY(),"m"),DATEDIF(Table1[[#This Row],[Date_Acq]],Table1[[#This Row],[Inactive_Date]],"m"))</f>
        <v>125</v>
      </c>
    </row>
    <row r="105" spans="1:26" s="16" customFormat="1" x14ac:dyDescent="0.4">
      <c r="A105" s="6"/>
      <c r="B105" s="7"/>
      <c r="C105" s="4">
        <v>38889</v>
      </c>
      <c r="D105" s="1" t="s">
        <v>237</v>
      </c>
      <c r="E105" s="1" t="s">
        <v>238</v>
      </c>
      <c r="F105" s="1" t="s">
        <v>238</v>
      </c>
      <c r="G105" s="1">
        <v>35376</v>
      </c>
      <c r="H105" s="21">
        <v>2478</v>
      </c>
      <c r="I105" s="21" t="s">
        <v>13</v>
      </c>
      <c r="J105" s="1" t="s">
        <v>38</v>
      </c>
      <c r="K105" s="1" t="s">
        <v>39</v>
      </c>
      <c r="L105" s="1" t="s">
        <v>35</v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>
        <f ca="1">IF(Table1[[#This Row],[Inactive_Date]]="",DATEDIF(Table1[[#This Row],[Date_Acq]],TODAY(),"m"),DATEDIF(Table1[[#This Row],[Date_Acq]],Table1[[#This Row],[Inactive_Date]],"m"))</f>
        <v>125</v>
      </c>
    </row>
    <row r="106" spans="1:26" s="16" customFormat="1" hidden="1" x14ac:dyDescent="0.4">
      <c r="A106" s="6"/>
      <c r="B106" s="7"/>
      <c r="C106" s="4">
        <v>38896</v>
      </c>
      <c r="D106" s="1" t="s">
        <v>239</v>
      </c>
      <c r="E106" s="1" t="s">
        <v>240</v>
      </c>
      <c r="F106" s="1" t="s">
        <v>240</v>
      </c>
      <c r="G106" s="1">
        <v>1100</v>
      </c>
      <c r="H106" s="21"/>
      <c r="I106" s="21" t="s">
        <v>13</v>
      </c>
      <c r="J106" s="1" t="s">
        <v>33</v>
      </c>
      <c r="K106" s="1" t="s">
        <v>34</v>
      </c>
      <c r="L106" s="1" t="s">
        <v>35</v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>
        <f ca="1">IF(Table1[[#This Row],[Inactive_Date]]="",DATEDIF(Table1[[#This Row],[Date_Acq]],TODAY(),"m"),DATEDIF(Table1[[#This Row],[Date_Acq]],Table1[[#This Row],[Inactive_Date]],"m"))</f>
        <v>124</v>
      </c>
    </row>
    <row r="107" spans="1:26" s="16" customFormat="1" hidden="1" x14ac:dyDescent="0.4">
      <c r="A107" s="6"/>
      <c r="B107" s="7"/>
      <c r="C107" s="4">
        <v>38896</v>
      </c>
      <c r="D107" s="1" t="s">
        <v>239</v>
      </c>
      <c r="E107" s="1" t="s">
        <v>240</v>
      </c>
      <c r="F107" s="1" t="s">
        <v>240</v>
      </c>
      <c r="G107" s="1">
        <v>1100</v>
      </c>
      <c r="H107" s="21"/>
      <c r="I107" s="21" t="s">
        <v>13</v>
      </c>
      <c r="J107" s="1" t="s">
        <v>33</v>
      </c>
      <c r="K107" s="1" t="s">
        <v>34</v>
      </c>
      <c r="L107" s="1" t="s">
        <v>35</v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>
        <f ca="1">IF(Table1[[#This Row],[Inactive_Date]]="",DATEDIF(Table1[[#This Row],[Date_Acq]],TODAY(),"m"),DATEDIF(Table1[[#This Row],[Date_Acq]],Table1[[#This Row],[Inactive_Date]],"m"))</f>
        <v>124</v>
      </c>
    </row>
    <row r="108" spans="1:26" s="16" customFormat="1" hidden="1" x14ac:dyDescent="0.4">
      <c r="A108" s="6"/>
      <c r="B108" s="7"/>
      <c r="C108" s="4">
        <v>38896</v>
      </c>
      <c r="D108" s="1" t="s">
        <v>241</v>
      </c>
      <c r="E108" s="1" t="s">
        <v>242</v>
      </c>
      <c r="F108" s="1" t="s">
        <v>242</v>
      </c>
      <c r="G108" s="1">
        <v>1032</v>
      </c>
      <c r="H108" s="21"/>
      <c r="I108" s="21" t="s">
        <v>13</v>
      </c>
      <c r="J108" s="1" t="s">
        <v>33</v>
      </c>
      <c r="K108" s="1" t="s">
        <v>34</v>
      </c>
      <c r="L108" s="1" t="s">
        <v>35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>
        <f ca="1">IF(Table1[[#This Row],[Inactive_Date]]="",DATEDIF(Table1[[#This Row],[Date_Acq]],TODAY(),"m"),DATEDIF(Table1[[#This Row],[Date_Acq]],Table1[[#This Row],[Inactive_Date]],"m"))</f>
        <v>124</v>
      </c>
    </row>
    <row r="109" spans="1:26" s="16" customFormat="1" hidden="1" x14ac:dyDescent="0.4">
      <c r="A109" s="6"/>
      <c r="B109" s="7"/>
      <c r="C109" s="4">
        <v>38896</v>
      </c>
      <c r="D109" s="1" t="s">
        <v>243</v>
      </c>
      <c r="E109" s="1" t="s">
        <v>244</v>
      </c>
      <c r="F109" s="1" t="s">
        <v>244</v>
      </c>
      <c r="G109" s="1">
        <v>8338</v>
      </c>
      <c r="H109" s="21"/>
      <c r="I109" s="21" t="s">
        <v>13</v>
      </c>
      <c r="J109" s="1" t="s">
        <v>33</v>
      </c>
      <c r="K109" s="1" t="s">
        <v>34</v>
      </c>
      <c r="L109" s="1" t="s">
        <v>35</v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>
        <f ca="1">IF(Table1[[#This Row],[Inactive_Date]]="",DATEDIF(Table1[[#This Row],[Date_Acq]],TODAY(),"m"),DATEDIF(Table1[[#This Row],[Date_Acq]],Table1[[#This Row],[Inactive_Date]],"m"))</f>
        <v>124</v>
      </c>
    </row>
    <row r="110" spans="1:26" s="16" customFormat="1" hidden="1" x14ac:dyDescent="0.4">
      <c r="A110" s="6"/>
      <c r="B110" s="7"/>
      <c r="C110" s="4">
        <v>38896</v>
      </c>
      <c r="D110" s="1" t="s">
        <v>243</v>
      </c>
      <c r="E110" s="1" t="s">
        <v>245</v>
      </c>
      <c r="F110" s="1" t="s">
        <v>246</v>
      </c>
      <c r="G110" s="1">
        <v>3360</v>
      </c>
      <c r="H110" s="21"/>
      <c r="I110" s="21" t="s">
        <v>13</v>
      </c>
      <c r="J110" s="1" t="s">
        <v>33</v>
      </c>
      <c r="K110" s="1" t="s">
        <v>34</v>
      </c>
      <c r="L110" s="1" t="s">
        <v>35</v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>
        <f ca="1">IF(Table1[[#This Row],[Inactive_Date]]="",DATEDIF(Table1[[#This Row],[Date_Acq]],TODAY(),"m"),DATEDIF(Table1[[#This Row],[Date_Acq]],Table1[[#This Row],[Inactive_Date]],"m"))</f>
        <v>124</v>
      </c>
    </row>
    <row r="111" spans="1:26" s="16" customFormat="1" hidden="1" x14ac:dyDescent="0.4">
      <c r="A111" s="6"/>
      <c r="B111" s="7"/>
      <c r="C111" s="4">
        <v>38896</v>
      </c>
      <c r="D111" s="1" t="s">
        <v>208</v>
      </c>
      <c r="E111" s="1" t="s">
        <v>247</v>
      </c>
      <c r="F111" s="1" t="s">
        <v>247</v>
      </c>
      <c r="G111" s="1">
        <v>1000</v>
      </c>
      <c r="H111" s="21"/>
      <c r="I111" s="21" t="s">
        <v>13</v>
      </c>
      <c r="J111" s="1" t="s">
        <v>33</v>
      </c>
      <c r="K111" s="1" t="s">
        <v>34</v>
      </c>
      <c r="L111" s="1" t="s">
        <v>35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>
        <f ca="1">IF(Table1[[#This Row],[Inactive_Date]]="",DATEDIF(Table1[[#This Row],[Date_Acq]],TODAY(),"m"),DATEDIF(Table1[[#This Row],[Date_Acq]],Table1[[#This Row],[Inactive_Date]],"m"))</f>
        <v>124</v>
      </c>
    </row>
    <row r="112" spans="1:26" s="16" customFormat="1" hidden="1" x14ac:dyDescent="0.4">
      <c r="A112" s="6"/>
      <c r="B112" s="7"/>
      <c r="C112" s="4">
        <v>38896</v>
      </c>
      <c r="D112" s="1" t="s">
        <v>248</v>
      </c>
      <c r="E112" s="1" t="s">
        <v>249</v>
      </c>
      <c r="F112" s="1" t="s">
        <v>249</v>
      </c>
      <c r="G112" s="1">
        <v>1000</v>
      </c>
      <c r="H112" s="21"/>
      <c r="I112" s="21" t="s">
        <v>13</v>
      </c>
      <c r="J112" s="1" t="s">
        <v>33</v>
      </c>
      <c r="K112" s="1" t="s">
        <v>34</v>
      </c>
      <c r="L112" s="1" t="s">
        <v>35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>
        <f ca="1">IF(Table1[[#This Row],[Inactive_Date]]="",DATEDIF(Table1[[#This Row],[Date_Acq]],TODAY(),"m"),DATEDIF(Table1[[#This Row],[Date_Acq]],Table1[[#This Row],[Inactive_Date]],"m"))</f>
        <v>124</v>
      </c>
    </row>
    <row r="113" spans="1:26" s="16" customFormat="1" hidden="1" x14ac:dyDescent="0.4">
      <c r="A113" s="6"/>
      <c r="B113" s="7"/>
      <c r="C113" s="4">
        <v>38896</v>
      </c>
      <c r="D113" s="1" t="s">
        <v>241</v>
      </c>
      <c r="E113" s="1" t="s">
        <v>250</v>
      </c>
      <c r="F113" s="1" t="s">
        <v>250</v>
      </c>
      <c r="G113" s="1">
        <v>4500</v>
      </c>
      <c r="H113" s="21"/>
      <c r="I113" s="21" t="s">
        <v>13</v>
      </c>
      <c r="J113" s="1" t="s">
        <v>33</v>
      </c>
      <c r="K113" s="1" t="s">
        <v>34</v>
      </c>
      <c r="L113" s="1" t="s">
        <v>35</v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>
        <f ca="1">IF(Table1[[#This Row],[Inactive_Date]]="",DATEDIF(Table1[[#This Row],[Date_Acq]],TODAY(),"m"),DATEDIF(Table1[[#This Row],[Date_Acq]],Table1[[#This Row],[Inactive_Date]],"m"))</f>
        <v>124</v>
      </c>
    </row>
    <row r="114" spans="1:26" s="16" customFormat="1" hidden="1" x14ac:dyDescent="0.4">
      <c r="A114" s="6"/>
      <c r="B114" s="7"/>
      <c r="C114" s="4">
        <v>38896</v>
      </c>
      <c r="D114" s="1" t="s">
        <v>241</v>
      </c>
      <c r="E114" s="1" t="s">
        <v>251</v>
      </c>
      <c r="F114" s="1" t="s">
        <v>251</v>
      </c>
      <c r="G114" s="1">
        <v>5310</v>
      </c>
      <c r="H114" s="21"/>
      <c r="I114" s="21" t="s">
        <v>13</v>
      </c>
      <c r="J114" s="1" t="s">
        <v>33</v>
      </c>
      <c r="K114" s="1" t="s">
        <v>34</v>
      </c>
      <c r="L114" s="1" t="s">
        <v>35</v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>
        <f ca="1">IF(Table1[[#This Row],[Inactive_Date]]="",DATEDIF(Table1[[#This Row],[Date_Acq]],TODAY(),"m"),DATEDIF(Table1[[#This Row],[Date_Acq]],Table1[[#This Row],[Inactive_Date]],"m"))</f>
        <v>124</v>
      </c>
    </row>
    <row r="115" spans="1:26" s="16" customFormat="1" hidden="1" x14ac:dyDescent="0.4">
      <c r="A115" s="6"/>
      <c r="B115" s="7"/>
      <c r="C115" s="4">
        <v>38896</v>
      </c>
      <c r="D115" s="1" t="s">
        <v>252</v>
      </c>
      <c r="E115" s="1" t="s">
        <v>253</v>
      </c>
      <c r="F115" s="1" t="s">
        <v>253</v>
      </c>
      <c r="G115" s="1">
        <v>5624</v>
      </c>
      <c r="H115" s="21"/>
      <c r="I115" s="21" t="s">
        <v>13</v>
      </c>
      <c r="J115" s="1" t="s">
        <v>33</v>
      </c>
      <c r="K115" s="1" t="s">
        <v>34</v>
      </c>
      <c r="L115" s="1" t="s">
        <v>35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>
        <f ca="1">IF(Table1[[#This Row],[Inactive_Date]]="",DATEDIF(Table1[[#This Row],[Date_Acq]],TODAY(),"m"),DATEDIF(Table1[[#This Row],[Date_Acq]],Table1[[#This Row],[Inactive_Date]],"m"))</f>
        <v>124</v>
      </c>
    </row>
    <row r="116" spans="1:26" s="16" customFormat="1" hidden="1" x14ac:dyDescent="0.4">
      <c r="A116" s="6"/>
      <c r="B116" s="7"/>
      <c r="C116" s="4">
        <v>38896</v>
      </c>
      <c r="D116" s="1" t="s">
        <v>252</v>
      </c>
      <c r="E116" s="1" t="s">
        <v>254</v>
      </c>
      <c r="F116" s="1" t="s">
        <v>254</v>
      </c>
      <c r="G116" s="1">
        <v>1140</v>
      </c>
      <c r="H116" s="21"/>
      <c r="I116" s="21" t="s">
        <v>13</v>
      </c>
      <c r="J116" s="1" t="s">
        <v>33</v>
      </c>
      <c r="K116" s="1" t="s">
        <v>34</v>
      </c>
      <c r="L116" s="1" t="s">
        <v>35</v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>
        <f ca="1">IF(Table1[[#This Row],[Inactive_Date]]="",DATEDIF(Table1[[#This Row],[Date_Acq]],TODAY(),"m"),DATEDIF(Table1[[#This Row],[Date_Acq]],Table1[[#This Row],[Inactive_Date]],"m"))</f>
        <v>124</v>
      </c>
    </row>
    <row r="117" spans="1:26" s="16" customFormat="1" hidden="1" x14ac:dyDescent="0.4">
      <c r="A117" s="6"/>
      <c r="B117" s="7"/>
      <c r="C117" s="4">
        <v>38896</v>
      </c>
      <c r="D117" s="1" t="s">
        <v>252</v>
      </c>
      <c r="E117" s="1" t="s">
        <v>255</v>
      </c>
      <c r="F117" s="1" t="s">
        <v>255</v>
      </c>
      <c r="G117" s="1">
        <v>2800</v>
      </c>
      <c r="H117" s="21"/>
      <c r="I117" s="21" t="s">
        <v>13</v>
      </c>
      <c r="J117" s="1" t="s">
        <v>33</v>
      </c>
      <c r="K117" s="1" t="s">
        <v>34</v>
      </c>
      <c r="L117" s="1" t="s">
        <v>35</v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>
        <f ca="1">IF(Table1[[#This Row],[Inactive_Date]]="",DATEDIF(Table1[[#This Row],[Date_Acq]],TODAY(),"m"),DATEDIF(Table1[[#This Row],[Date_Acq]],Table1[[#This Row],[Inactive_Date]],"m"))</f>
        <v>124</v>
      </c>
    </row>
    <row r="118" spans="1:26" s="16" customFormat="1" hidden="1" x14ac:dyDescent="0.4">
      <c r="A118" s="6"/>
      <c r="B118" s="7"/>
      <c r="C118" s="4">
        <v>38896</v>
      </c>
      <c r="D118" s="1" t="s">
        <v>208</v>
      </c>
      <c r="E118" s="1" t="s">
        <v>256</v>
      </c>
      <c r="F118" s="1" t="s">
        <v>256</v>
      </c>
      <c r="G118" s="1">
        <v>2500</v>
      </c>
      <c r="H118" s="21"/>
      <c r="I118" s="21" t="s">
        <v>13</v>
      </c>
      <c r="J118" s="1" t="s">
        <v>33</v>
      </c>
      <c r="K118" s="1" t="s">
        <v>34</v>
      </c>
      <c r="L118" s="1" t="s">
        <v>35</v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>
        <f ca="1">IF(Table1[[#This Row],[Inactive_Date]]="",DATEDIF(Table1[[#This Row],[Date_Acq]],TODAY(),"m"),DATEDIF(Table1[[#This Row],[Date_Acq]],Table1[[#This Row],[Inactive_Date]],"m"))</f>
        <v>124</v>
      </c>
    </row>
    <row r="119" spans="1:26" s="17" customFormat="1" x14ac:dyDescent="0.4">
      <c r="A119" s="6"/>
      <c r="B119" s="7"/>
      <c r="C119" s="4">
        <v>38908</v>
      </c>
      <c r="D119" s="2" t="s">
        <v>257</v>
      </c>
      <c r="E119" s="2" t="s">
        <v>258</v>
      </c>
      <c r="F119" s="2" t="s">
        <v>258</v>
      </c>
      <c r="G119" s="2">
        <v>1899</v>
      </c>
      <c r="H119" s="21">
        <v>5644</v>
      </c>
      <c r="I119" s="21" t="s">
        <v>13</v>
      </c>
      <c r="J119" s="2" t="s">
        <v>46</v>
      </c>
      <c r="K119" s="2" t="s">
        <v>39</v>
      </c>
      <c r="L119" s="2" t="s">
        <v>35</v>
      </c>
      <c r="M119" s="2"/>
      <c r="N119" s="2"/>
      <c r="O119" s="2"/>
      <c r="P119" s="2"/>
      <c r="Q119" s="2"/>
      <c r="R119" s="1"/>
      <c r="S119" s="2"/>
      <c r="T119" s="1"/>
      <c r="U119" s="1"/>
      <c r="V119" s="2"/>
      <c r="W119" s="2"/>
      <c r="X119" s="2"/>
      <c r="Y119" s="2"/>
      <c r="Z119" s="1">
        <f ca="1">IF(Table1[[#This Row],[Inactive_Date]]="",DATEDIF(Table1[[#This Row],[Date_Acq]],TODAY(),"m"),DATEDIF(Table1[[#This Row],[Date_Acq]],Table1[[#This Row],[Inactive_Date]],"m"))</f>
        <v>124</v>
      </c>
    </row>
    <row r="120" spans="1:26" s="16" customFormat="1" x14ac:dyDescent="0.4">
      <c r="A120" s="6"/>
      <c r="B120" s="7"/>
      <c r="C120" s="4">
        <v>38913</v>
      </c>
      <c r="D120" s="1" t="s">
        <v>259</v>
      </c>
      <c r="E120" s="1" t="s">
        <v>260</v>
      </c>
      <c r="F120" s="1" t="s">
        <v>260</v>
      </c>
      <c r="G120" s="1">
        <v>9673</v>
      </c>
      <c r="H120" s="21">
        <v>2479</v>
      </c>
      <c r="I120" s="21" t="s">
        <v>13</v>
      </c>
      <c r="J120" s="1" t="s">
        <v>33</v>
      </c>
      <c r="K120" s="1" t="s">
        <v>261</v>
      </c>
      <c r="L120" s="1" t="s">
        <v>35</v>
      </c>
      <c r="M120" s="1"/>
      <c r="N120" s="1" t="s">
        <v>259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>
        <f ca="1">IF(Table1[[#This Row],[Inactive_Date]]="",DATEDIF(Table1[[#This Row],[Date_Acq]],TODAY(),"m"),DATEDIF(Table1[[#This Row],[Date_Acq]],Table1[[#This Row],[Inactive_Date]],"m"))</f>
        <v>124</v>
      </c>
    </row>
    <row r="121" spans="1:26" s="16" customFormat="1" x14ac:dyDescent="0.4">
      <c r="A121" s="6"/>
      <c r="B121" s="7"/>
      <c r="C121" s="4">
        <v>38913</v>
      </c>
      <c r="D121" s="1" t="s">
        <v>262</v>
      </c>
      <c r="E121" s="1" t="s">
        <v>263</v>
      </c>
      <c r="F121" s="1" t="s">
        <v>263</v>
      </c>
      <c r="G121" s="1">
        <v>976</v>
      </c>
      <c r="H121" s="21">
        <v>2479</v>
      </c>
      <c r="I121" s="21" t="s">
        <v>13</v>
      </c>
      <c r="J121" s="1" t="s">
        <v>33</v>
      </c>
      <c r="K121" s="1" t="s">
        <v>261</v>
      </c>
      <c r="L121" s="1" t="s">
        <v>35</v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>
        <f ca="1">IF(Table1[[#This Row],[Inactive_Date]]="",DATEDIF(Table1[[#This Row],[Date_Acq]],TODAY(),"m"),DATEDIF(Table1[[#This Row],[Date_Acq]],Table1[[#This Row],[Inactive_Date]],"m"))</f>
        <v>124</v>
      </c>
    </row>
    <row r="122" spans="1:26" s="16" customFormat="1" x14ac:dyDescent="0.4">
      <c r="A122" s="6"/>
      <c r="B122" s="7"/>
      <c r="C122" s="4">
        <v>38914</v>
      </c>
      <c r="D122" s="1" t="s">
        <v>148</v>
      </c>
      <c r="E122" s="1" t="s">
        <v>264</v>
      </c>
      <c r="F122" s="1" t="s">
        <v>264</v>
      </c>
      <c r="G122" s="1">
        <v>5025</v>
      </c>
      <c r="H122" s="21">
        <v>2476</v>
      </c>
      <c r="I122" s="21" t="s">
        <v>13</v>
      </c>
      <c r="J122" s="1" t="s">
        <v>55</v>
      </c>
      <c r="K122" s="1" t="s">
        <v>56</v>
      </c>
      <c r="L122" s="1" t="s">
        <v>35</v>
      </c>
      <c r="M122" s="1"/>
      <c r="N122" s="1" t="s">
        <v>150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>
        <f ca="1">IF(Table1[[#This Row],[Inactive_Date]]="",DATEDIF(Table1[[#This Row],[Date_Acq]],TODAY(),"m"),DATEDIF(Table1[[#This Row],[Date_Acq]],Table1[[#This Row],[Inactive_Date]],"m"))</f>
        <v>124</v>
      </c>
    </row>
    <row r="123" spans="1:26" s="16" customFormat="1" x14ac:dyDescent="0.4">
      <c r="A123" s="6"/>
      <c r="B123" s="7"/>
      <c r="C123" s="4">
        <v>38952</v>
      </c>
      <c r="D123" s="1" t="s">
        <v>265</v>
      </c>
      <c r="E123" s="1" t="s">
        <v>266</v>
      </c>
      <c r="F123" s="1" t="s">
        <v>267</v>
      </c>
      <c r="G123" s="1">
        <v>3237</v>
      </c>
      <c r="H123" s="21">
        <v>2476</v>
      </c>
      <c r="I123" s="21" t="s">
        <v>13</v>
      </c>
      <c r="J123" s="1" t="s">
        <v>33</v>
      </c>
      <c r="K123" s="1" t="s">
        <v>56</v>
      </c>
      <c r="L123" s="1" t="s">
        <v>35</v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>
        <f ca="1">IF(Table1[[#This Row],[Inactive_Date]]="",DATEDIF(Table1[[#This Row],[Date_Acq]],TODAY(),"m"),DATEDIF(Table1[[#This Row],[Date_Acq]],Table1[[#This Row],[Inactive_Date]],"m"))</f>
        <v>122</v>
      </c>
    </row>
    <row r="124" spans="1:26" s="17" customFormat="1" x14ac:dyDescent="0.4">
      <c r="A124" s="6"/>
      <c r="B124" s="7"/>
      <c r="C124" s="4">
        <v>39010</v>
      </c>
      <c r="D124" s="2" t="s">
        <v>102</v>
      </c>
      <c r="E124" s="2" t="s">
        <v>268</v>
      </c>
      <c r="F124" s="2" t="s">
        <v>268</v>
      </c>
      <c r="G124" s="2">
        <v>669</v>
      </c>
      <c r="H124" s="21">
        <v>2479</v>
      </c>
      <c r="I124" s="21" t="s">
        <v>13</v>
      </c>
      <c r="J124" s="2" t="s">
        <v>46</v>
      </c>
      <c r="K124" s="2" t="s">
        <v>39</v>
      </c>
      <c r="L124" s="2" t="s">
        <v>35</v>
      </c>
      <c r="M124" s="2"/>
      <c r="N124" s="2"/>
      <c r="O124" s="2"/>
      <c r="P124" s="2"/>
      <c r="Q124" s="2"/>
      <c r="R124" s="1"/>
      <c r="S124" s="2"/>
      <c r="T124" s="1"/>
      <c r="U124" s="1"/>
      <c r="V124" s="2"/>
      <c r="W124" s="2"/>
      <c r="X124" s="2"/>
      <c r="Y124" s="2"/>
      <c r="Z124" s="1">
        <f ca="1">IF(Table1[[#This Row],[Inactive_Date]]="",DATEDIF(Table1[[#This Row],[Date_Acq]],TODAY(),"m"),DATEDIF(Table1[[#This Row],[Date_Acq]],Table1[[#This Row],[Inactive_Date]],"m"))</f>
        <v>121</v>
      </c>
    </row>
    <row r="125" spans="1:26" s="17" customFormat="1" x14ac:dyDescent="0.4">
      <c r="A125" s="6"/>
      <c r="B125" s="7"/>
      <c r="C125" s="4">
        <v>39066</v>
      </c>
      <c r="D125" s="2" t="s">
        <v>269</v>
      </c>
      <c r="E125" s="2" t="s">
        <v>270</v>
      </c>
      <c r="F125" s="2" t="s">
        <v>270</v>
      </c>
      <c r="G125" s="2">
        <v>1471.32</v>
      </c>
      <c r="H125" s="21">
        <v>5380</v>
      </c>
      <c r="I125" s="21" t="s">
        <v>13</v>
      </c>
      <c r="J125" s="2" t="s">
        <v>46</v>
      </c>
      <c r="K125" s="2" t="s">
        <v>39</v>
      </c>
      <c r="L125" s="2" t="s">
        <v>35</v>
      </c>
      <c r="M125" s="2"/>
      <c r="N125" s="2"/>
      <c r="O125" s="2"/>
      <c r="P125" s="2"/>
      <c r="Q125" s="2"/>
      <c r="R125" s="1"/>
      <c r="S125" s="2"/>
      <c r="T125" s="1"/>
      <c r="U125" s="1"/>
      <c r="V125" s="2"/>
      <c r="W125" s="2"/>
      <c r="X125" s="2"/>
      <c r="Y125" s="2"/>
      <c r="Z125" s="1">
        <f ca="1">IF(Table1[[#This Row],[Inactive_Date]]="",DATEDIF(Table1[[#This Row],[Date_Acq]],TODAY(),"m"),DATEDIF(Table1[[#This Row],[Date_Acq]],Table1[[#This Row],[Inactive_Date]],"m"))</f>
        <v>119</v>
      </c>
    </row>
    <row r="126" spans="1:26" s="16" customFormat="1" x14ac:dyDescent="0.4">
      <c r="A126" s="6"/>
      <c r="B126" s="7"/>
      <c r="C126" s="4">
        <v>39114</v>
      </c>
      <c r="D126" s="1" t="s">
        <v>271</v>
      </c>
      <c r="E126" s="1" t="s">
        <v>272</v>
      </c>
      <c r="F126" s="1" t="s">
        <v>273</v>
      </c>
      <c r="G126" s="1">
        <v>4600</v>
      </c>
      <c r="H126" s="21">
        <v>2332</v>
      </c>
      <c r="I126" s="21" t="s">
        <v>13</v>
      </c>
      <c r="J126" s="1" t="s">
        <v>55</v>
      </c>
      <c r="K126" s="1" t="s">
        <v>56</v>
      </c>
      <c r="L126" s="1" t="s">
        <v>35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>
        <f ca="1">IF(Table1[[#This Row],[Inactive_Date]]="",DATEDIF(Table1[[#This Row],[Date_Acq]],TODAY(),"m"),DATEDIF(Table1[[#This Row],[Date_Acq]],Table1[[#This Row],[Inactive_Date]],"m"))</f>
        <v>117</v>
      </c>
    </row>
    <row r="127" spans="1:26" s="16" customFormat="1" x14ac:dyDescent="0.4">
      <c r="A127" s="6"/>
      <c r="B127" s="7"/>
      <c r="C127" s="4">
        <v>39118</v>
      </c>
      <c r="D127" s="1" t="s">
        <v>274</v>
      </c>
      <c r="E127" s="1" t="s">
        <v>275</v>
      </c>
      <c r="F127" s="1" t="s">
        <v>275</v>
      </c>
      <c r="G127" s="1">
        <v>2100</v>
      </c>
      <c r="H127" s="21">
        <v>2476</v>
      </c>
      <c r="I127" s="21" t="s">
        <v>13</v>
      </c>
      <c r="J127" s="1" t="s">
        <v>38</v>
      </c>
      <c r="K127" s="1" t="s">
        <v>39</v>
      </c>
      <c r="L127" s="1" t="s">
        <v>35</v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>
        <f ca="1">IF(Table1[[#This Row],[Inactive_Date]]="",DATEDIF(Table1[[#This Row],[Date_Acq]],TODAY(),"m"),DATEDIF(Table1[[#This Row],[Date_Acq]],Table1[[#This Row],[Inactive_Date]],"m"))</f>
        <v>117</v>
      </c>
    </row>
    <row r="128" spans="1:26" s="16" customFormat="1" x14ac:dyDescent="0.4">
      <c r="A128" s="6"/>
      <c r="B128" s="7"/>
      <c r="C128" s="4">
        <v>39120</v>
      </c>
      <c r="D128" s="1" t="s">
        <v>274</v>
      </c>
      <c r="E128" s="1" t="s">
        <v>276</v>
      </c>
      <c r="F128" s="1" t="s">
        <v>276</v>
      </c>
      <c r="G128" s="1">
        <v>14500</v>
      </c>
      <c r="H128" s="21">
        <v>2332</v>
      </c>
      <c r="I128" s="21" t="s">
        <v>13</v>
      </c>
      <c r="J128" s="1"/>
      <c r="K128" s="1" t="s">
        <v>39</v>
      </c>
      <c r="L128" s="1" t="s">
        <v>51</v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>
        <f ca="1">IF(Table1[[#This Row],[Inactive_Date]]="",DATEDIF(Table1[[#This Row],[Date_Acq]],TODAY(),"m"),DATEDIF(Table1[[#This Row],[Date_Acq]],Table1[[#This Row],[Inactive_Date]],"m"))</f>
        <v>117</v>
      </c>
    </row>
    <row r="129" spans="1:26" s="16" customFormat="1" x14ac:dyDescent="0.4">
      <c r="A129" s="6"/>
      <c r="B129" s="7"/>
      <c r="C129" s="4">
        <v>39120</v>
      </c>
      <c r="D129" s="1" t="s">
        <v>274</v>
      </c>
      <c r="E129" s="1" t="s">
        <v>277</v>
      </c>
      <c r="F129" s="1" t="s">
        <v>277</v>
      </c>
      <c r="G129" s="1">
        <v>3000</v>
      </c>
      <c r="H129" s="21">
        <v>2332</v>
      </c>
      <c r="I129" s="21" t="s">
        <v>13</v>
      </c>
      <c r="J129" s="1"/>
      <c r="K129" s="1" t="s">
        <v>39</v>
      </c>
      <c r="L129" s="1" t="s">
        <v>51</v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>
        <f ca="1">IF(Table1[[#This Row],[Inactive_Date]]="",DATEDIF(Table1[[#This Row],[Date_Acq]],TODAY(),"m"),DATEDIF(Table1[[#This Row],[Date_Acq]],Table1[[#This Row],[Inactive_Date]],"m"))</f>
        <v>117</v>
      </c>
    </row>
    <row r="130" spans="1:26" s="16" customFormat="1" x14ac:dyDescent="0.4">
      <c r="A130" s="6"/>
      <c r="B130" s="7"/>
      <c r="C130" s="4">
        <v>39120</v>
      </c>
      <c r="D130" s="1" t="s">
        <v>274</v>
      </c>
      <c r="E130" s="1" t="s">
        <v>278</v>
      </c>
      <c r="F130" s="1" t="s">
        <v>278</v>
      </c>
      <c r="G130" s="1">
        <v>6975</v>
      </c>
      <c r="H130" s="21">
        <v>2332</v>
      </c>
      <c r="I130" s="21" t="s">
        <v>13</v>
      </c>
      <c r="J130" s="1"/>
      <c r="K130" s="1" t="s">
        <v>39</v>
      </c>
      <c r="L130" s="1" t="s">
        <v>51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>
        <f ca="1">IF(Table1[[#This Row],[Inactive_Date]]="",DATEDIF(Table1[[#This Row],[Date_Acq]],TODAY(),"m"),DATEDIF(Table1[[#This Row],[Date_Acq]],Table1[[#This Row],[Inactive_Date]],"m"))</f>
        <v>117</v>
      </c>
    </row>
    <row r="131" spans="1:26" s="16" customFormat="1" x14ac:dyDescent="0.4">
      <c r="A131" s="6"/>
      <c r="B131" s="7"/>
      <c r="C131" s="4">
        <v>39120</v>
      </c>
      <c r="D131" s="1" t="s">
        <v>274</v>
      </c>
      <c r="E131" s="1" t="s">
        <v>279</v>
      </c>
      <c r="F131" s="1" t="s">
        <v>279</v>
      </c>
      <c r="G131" s="1">
        <v>3521</v>
      </c>
      <c r="H131" s="21">
        <v>2332</v>
      </c>
      <c r="I131" s="21" t="s">
        <v>13</v>
      </c>
      <c r="J131" s="1" t="s">
        <v>38</v>
      </c>
      <c r="K131" s="1" t="s">
        <v>39</v>
      </c>
      <c r="L131" s="1" t="s">
        <v>35</v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>
        <f ca="1">IF(Table1[[#This Row],[Inactive_Date]]="",DATEDIF(Table1[[#This Row],[Date_Acq]],TODAY(),"m"),DATEDIF(Table1[[#This Row],[Date_Acq]],Table1[[#This Row],[Inactive_Date]],"m"))</f>
        <v>117</v>
      </c>
    </row>
    <row r="132" spans="1:26" s="16" customFormat="1" x14ac:dyDescent="0.4">
      <c r="A132" s="6"/>
      <c r="B132" s="7"/>
      <c r="C132" s="4">
        <v>39120</v>
      </c>
      <c r="D132" s="1" t="s">
        <v>274</v>
      </c>
      <c r="E132" s="1" t="s">
        <v>279</v>
      </c>
      <c r="F132" s="1" t="s">
        <v>279</v>
      </c>
      <c r="G132" s="1">
        <v>3521</v>
      </c>
      <c r="H132" s="21">
        <v>2332</v>
      </c>
      <c r="I132" s="21" t="s">
        <v>13</v>
      </c>
      <c r="J132" s="1" t="s">
        <v>38</v>
      </c>
      <c r="K132" s="1" t="s">
        <v>39</v>
      </c>
      <c r="L132" s="1" t="s">
        <v>35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>
        <f ca="1">IF(Table1[[#This Row],[Inactive_Date]]="",DATEDIF(Table1[[#This Row],[Date_Acq]],TODAY(),"m"),DATEDIF(Table1[[#This Row],[Date_Acq]],Table1[[#This Row],[Inactive_Date]],"m"))</f>
        <v>117</v>
      </c>
    </row>
    <row r="133" spans="1:26" s="16" customFormat="1" x14ac:dyDescent="0.4">
      <c r="A133" s="6"/>
      <c r="B133" s="7"/>
      <c r="C133" s="4">
        <v>39120</v>
      </c>
      <c r="D133" s="1" t="s">
        <v>274</v>
      </c>
      <c r="E133" s="1" t="s">
        <v>279</v>
      </c>
      <c r="F133" s="1" t="s">
        <v>279</v>
      </c>
      <c r="G133" s="1">
        <v>3521</v>
      </c>
      <c r="H133" s="21">
        <v>2332</v>
      </c>
      <c r="I133" s="21" t="s">
        <v>13</v>
      </c>
      <c r="J133" s="1" t="s">
        <v>38</v>
      </c>
      <c r="K133" s="1" t="s">
        <v>39</v>
      </c>
      <c r="L133" s="1" t="s">
        <v>35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>
        <f ca="1">IF(Table1[[#This Row],[Inactive_Date]]="",DATEDIF(Table1[[#This Row],[Date_Acq]],TODAY(),"m"),DATEDIF(Table1[[#This Row],[Date_Acq]],Table1[[#This Row],[Inactive_Date]],"m"))</f>
        <v>117</v>
      </c>
    </row>
    <row r="134" spans="1:26" s="16" customFormat="1" x14ac:dyDescent="0.4">
      <c r="A134" s="6"/>
      <c r="B134" s="7"/>
      <c r="C134" s="4">
        <v>39120</v>
      </c>
      <c r="D134" s="1" t="s">
        <v>274</v>
      </c>
      <c r="E134" s="1" t="s">
        <v>279</v>
      </c>
      <c r="F134" s="1" t="s">
        <v>279</v>
      </c>
      <c r="G134" s="1">
        <v>3521</v>
      </c>
      <c r="H134" s="21">
        <v>2332</v>
      </c>
      <c r="I134" s="21" t="s">
        <v>13</v>
      </c>
      <c r="J134" s="1" t="s">
        <v>38</v>
      </c>
      <c r="K134" s="1" t="s">
        <v>39</v>
      </c>
      <c r="L134" s="1" t="s">
        <v>35</v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>
        <f ca="1">IF(Table1[[#This Row],[Inactive_Date]]="",DATEDIF(Table1[[#This Row],[Date_Acq]],TODAY(),"m"),DATEDIF(Table1[[#This Row],[Date_Acq]],Table1[[#This Row],[Inactive_Date]],"m"))</f>
        <v>117</v>
      </c>
    </row>
    <row r="135" spans="1:26" s="16" customFormat="1" x14ac:dyDescent="0.4">
      <c r="A135" s="6"/>
      <c r="B135" s="7"/>
      <c r="C135" s="4">
        <v>39120</v>
      </c>
      <c r="D135" s="1" t="s">
        <v>274</v>
      </c>
      <c r="E135" s="1" t="s">
        <v>280</v>
      </c>
      <c r="F135" s="1" t="s">
        <v>280</v>
      </c>
      <c r="G135" s="1">
        <v>3080</v>
      </c>
      <c r="H135" s="21">
        <v>2332</v>
      </c>
      <c r="I135" s="21" t="s">
        <v>13</v>
      </c>
      <c r="J135" s="1" t="s">
        <v>38</v>
      </c>
      <c r="K135" s="1" t="s">
        <v>39</v>
      </c>
      <c r="L135" s="1" t="s">
        <v>35</v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>
        <f ca="1">IF(Table1[[#This Row],[Inactive_Date]]="",DATEDIF(Table1[[#This Row],[Date_Acq]],TODAY(),"m"),DATEDIF(Table1[[#This Row],[Date_Acq]],Table1[[#This Row],[Inactive_Date]],"m"))</f>
        <v>117</v>
      </c>
    </row>
    <row r="136" spans="1:26" s="16" customFormat="1" x14ac:dyDescent="0.4">
      <c r="A136" s="6"/>
      <c r="B136" s="7"/>
      <c r="C136" s="4">
        <v>39120</v>
      </c>
      <c r="D136" s="1" t="s">
        <v>274</v>
      </c>
      <c r="E136" s="1" t="s">
        <v>280</v>
      </c>
      <c r="F136" s="1" t="s">
        <v>280</v>
      </c>
      <c r="G136" s="1">
        <v>3080</v>
      </c>
      <c r="H136" s="21">
        <v>2332</v>
      </c>
      <c r="I136" s="21" t="s">
        <v>13</v>
      </c>
      <c r="J136" s="1" t="s">
        <v>38</v>
      </c>
      <c r="K136" s="1" t="s">
        <v>39</v>
      </c>
      <c r="L136" s="1" t="s">
        <v>35</v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>
        <f ca="1">IF(Table1[[#This Row],[Inactive_Date]]="",DATEDIF(Table1[[#This Row],[Date_Acq]],TODAY(),"m"),DATEDIF(Table1[[#This Row],[Date_Acq]],Table1[[#This Row],[Inactive_Date]],"m"))</f>
        <v>117</v>
      </c>
    </row>
    <row r="137" spans="1:26" s="16" customFormat="1" x14ac:dyDescent="0.4">
      <c r="A137" s="6"/>
      <c r="B137" s="7"/>
      <c r="C137" s="4">
        <v>39143</v>
      </c>
      <c r="D137" s="1" t="s">
        <v>281</v>
      </c>
      <c r="E137" s="1" t="s">
        <v>282</v>
      </c>
      <c r="F137" s="1" t="s">
        <v>282</v>
      </c>
      <c r="G137" s="1">
        <v>1893.4</v>
      </c>
      <c r="H137" s="21">
        <v>2332</v>
      </c>
      <c r="I137" s="21" t="s">
        <v>13</v>
      </c>
      <c r="J137" s="1" t="s">
        <v>38</v>
      </c>
      <c r="K137" s="1" t="s">
        <v>39</v>
      </c>
      <c r="L137" s="1" t="s">
        <v>35</v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>
        <f ca="1">IF(Table1[[#This Row],[Inactive_Date]]="",DATEDIF(Table1[[#This Row],[Date_Acq]],TODAY(),"m"),DATEDIF(Table1[[#This Row],[Date_Acq]],Table1[[#This Row],[Inactive_Date]],"m"))</f>
        <v>116</v>
      </c>
    </row>
    <row r="138" spans="1:26" s="16" customFormat="1" hidden="1" x14ac:dyDescent="0.4">
      <c r="A138" s="6"/>
      <c r="B138" s="7"/>
      <c r="C138" s="4">
        <v>39206</v>
      </c>
      <c r="D138" s="1"/>
      <c r="E138" s="1" t="s">
        <v>283</v>
      </c>
      <c r="F138" s="1"/>
      <c r="G138" s="1">
        <v>500</v>
      </c>
      <c r="H138" s="21"/>
      <c r="I138" s="21" t="s">
        <v>13</v>
      </c>
      <c r="J138" s="1" t="s">
        <v>38</v>
      </c>
      <c r="K138" s="1" t="s">
        <v>34</v>
      </c>
      <c r="L138" s="1" t="s">
        <v>51</v>
      </c>
      <c r="M138" s="1"/>
      <c r="N138" s="1" t="s">
        <v>284</v>
      </c>
      <c r="O138" s="1"/>
      <c r="P138" s="1" t="s">
        <v>285</v>
      </c>
      <c r="Q138" s="1"/>
      <c r="R138" s="1"/>
      <c r="S138" s="1" t="s">
        <v>286</v>
      </c>
      <c r="T138" s="1"/>
      <c r="U138" s="1"/>
      <c r="V138" s="1"/>
      <c r="W138" s="1"/>
      <c r="X138" s="1"/>
      <c r="Y138" s="1"/>
      <c r="Z138" s="1">
        <f ca="1">IF(Table1[[#This Row],[Inactive_Date]]="",DATEDIF(Table1[[#This Row],[Date_Acq]],TODAY(),"m"),DATEDIF(Table1[[#This Row],[Date_Acq]],Table1[[#This Row],[Inactive_Date]],"m"))</f>
        <v>114</v>
      </c>
    </row>
    <row r="139" spans="1:26" s="16" customFormat="1" x14ac:dyDescent="0.4">
      <c r="A139" s="6"/>
      <c r="B139" s="7"/>
      <c r="C139" s="4">
        <v>39209</v>
      </c>
      <c r="D139" s="1" t="s">
        <v>274</v>
      </c>
      <c r="E139" s="1" t="s">
        <v>276</v>
      </c>
      <c r="F139" s="1" t="s">
        <v>276</v>
      </c>
      <c r="G139" s="1">
        <v>14500</v>
      </c>
      <c r="H139" s="21">
        <v>2332</v>
      </c>
      <c r="I139" s="21" t="s">
        <v>13</v>
      </c>
      <c r="J139" s="1" t="s">
        <v>38</v>
      </c>
      <c r="K139" s="1" t="s">
        <v>39</v>
      </c>
      <c r="L139" s="1" t="s">
        <v>35</v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>
        <f ca="1">IF(Table1[[#This Row],[Inactive_Date]]="",DATEDIF(Table1[[#This Row],[Date_Acq]],TODAY(),"m"),DATEDIF(Table1[[#This Row],[Date_Acq]],Table1[[#This Row],[Inactive_Date]],"m"))</f>
        <v>114</v>
      </c>
    </row>
    <row r="140" spans="1:26" s="16" customFormat="1" x14ac:dyDescent="0.4">
      <c r="A140" s="6"/>
      <c r="B140" s="7"/>
      <c r="C140" s="4">
        <v>39262</v>
      </c>
      <c r="D140" s="1" t="s">
        <v>287</v>
      </c>
      <c r="E140" s="1" t="s">
        <v>288</v>
      </c>
      <c r="F140" s="1" t="s">
        <v>288</v>
      </c>
      <c r="G140" s="1">
        <v>7500</v>
      </c>
      <c r="H140" s="21">
        <v>0</v>
      </c>
      <c r="I140" s="21" t="s">
        <v>13</v>
      </c>
      <c r="J140" s="1" t="s">
        <v>38</v>
      </c>
      <c r="K140" s="1" t="s">
        <v>39</v>
      </c>
      <c r="L140" s="1" t="s">
        <v>35</v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>
        <f ca="1">IF(Table1[[#This Row],[Inactive_Date]]="",DATEDIF(Table1[[#This Row],[Date_Acq]],TODAY(),"m"),DATEDIF(Table1[[#This Row],[Date_Acq]],Table1[[#This Row],[Inactive_Date]],"m"))</f>
        <v>112</v>
      </c>
    </row>
    <row r="141" spans="1:26" s="16" customFormat="1" x14ac:dyDescent="0.4">
      <c r="A141" s="6"/>
      <c r="B141" s="7"/>
      <c r="C141" s="4">
        <v>39349</v>
      </c>
      <c r="D141" s="1" t="s">
        <v>289</v>
      </c>
      <c r="E141" s="1" t="s">
        <v>290</v>
      </c>
      <c r="F141" s="1" t="s">
        <v>290</v>
      </c>
      <c r="G141" s="1">
        <v>1199</v>
      </c>
      <c r="H141" s="21">
        <v>5515</v>
      </c>
      <c r="I141" s="21" t="s">
        <v>13</v>
      </c>
      <c r="J141" s="1" t="s">
        <v>38</v>
      </c>
      <c r="K141" s="1" t="s">
        <v>39</v>
      </c>
      <c r="L141" s="1" t="s">
        <v>35</v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>
        <f ca="1">IF(Table1[[#This Row],[Inactive_Date]]="",DATEDIF(Table1[[#This Row],[Date_Acq]],TODAY(),"m"),DATEDIF(Table1[[#This Row],[Date_Acq]],Table1[[#This Row],[Inactive_Date]],"m"))</f>
        <v>109</v>
      </c>
    </row>
    <row r="142" spans="1:26" s="16" customFormat="1" x14ac:dyDescent="0.4">
      <c r="A142" s="6"/>
      <c r="B142" s="7"/>
      <c r="C142" s="4">
        <v>39349</v>
      </c>
      <c r="D142" s="1" t="s">
        <v>289</v>
      </c>
      <c r="E142" s="1" t="s">
        <v>291</v>
      </c>
      <c r="F142" s="1" t="s">
        <v>291</v>
      </c>
      <c r="G142" s="1">
        <v>1199</v>
      </c>
      <c r="H142" s="21">
        <v>5515</v>
      </c>
      <c r="I142" s="21" t="s">
        <v>13</v>
      </c>
      <c r="J142" s="1" t="s">
        <v>38</v>
      </c>
      <c r="K142" s="1" t="s">
        <v>39</v>
      </c>
      <c r="L142" s="1" t="s">
        <v>35</v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>
        <f ca="1">IF(Table1[[#This Row],[Inactive_Date]]="",DATEDIF(Table1[[#This Row],[Date_Acq]],TODAY(),"m"),DATEDIF(Table1[[#This Row],[Date_Acq]],Table1[[#This Row],[Inactive_Date]],"m"))</f>
        <v>109</v>
      </c>
    </row>
    <row r="143" spans="1:26" s="16" customFormat="1" x14ac:dyDescent="0.4">
      <c r="A143" s="6"/>
      <c r="B143" s="7"/>
      <c r="C143" s="4">
        <v>39391</v>
      </c>
      <c r="D143" s="1" t="s">
        <v>113</v>
      </c>
      <c r="E143" s="1" t="s">
        <v>292</v>
      </c>
      <c r="F143" s="1" t="s">
        <v>292</v>
      </c>
      <c r="G143" s="1">
        <v>6599.46</v>
      </c>
      <c r="H143" s="21">
        <v>5520</v>
      </c>
      <c r="I143" s="21" t="s">
        <v>13</v>
      </c>
      <c r="J143" s="1" t="s">
        <v>38</v>
      </c>
      <c r="K143" s="1" t="s">
        <v>39</v>
      </c>
      <c r="L143" s="1" t="s">
        <v>35</v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>
        <f ca="1">IF(Table1[[#This Row],[Inactive_Date]]="",DATEDIF(Table1[[#This Row],[Date_Acq]],TODAY(),"m"),DATEDIF(Table1[[#This Row],[Date_Acq]],Table1[[#This Row],[Inactive_Date]],"m"))</f>
        <v>108</v>
      </c>
    </row>
    <row r="144" spans="1:26" s="17" customFormat="1" x14ac:dyDescent="0.4">
      <c r="A144" s="6"/>
      <c r="B144" s="7"/>
      <c r="C144" s="4">
        <v>39427</v>
      </c>
      <c r="D144" s="2" t="s">
        <v>293</v>
      </c>
      <c r="E144" s="2" t="s">
        <v>294</v>
      </c>
      <c r="F144" s="2" t="s">
        <v>294</v>
      </c>
      <c r="G144" s="2">
        <v>2495</v>
      </c>
      <c r="H144" s="21">
        <v>5380</v>
      </c>
      <c r="I144" s="21" t="s">
        <v>13</v>
      </c>
      <c r="J144" s="2" t="s">
        <v>46</v>
      </c>
      <c r="K144" s="2" t="s">
        <v>39</v>
      </c>
      <c r="L144" s="2" t="s">
        <v>35</v>
      </c>
      <c r="M144" s="2"/>
      <c r="N144" s="2"/>
      <c r="O144" s="2"/>
      <c r="P144" s="2"/>
      <c r="Q144" s="2"/>
      <c r="R144" s="1"/>
      <c r="S144" s="2"/>
      <c r="T144" s="1"/>
      <c r="U144" s="1"/>
      <c r="V144" s="2"/>
      <c r="W144" s="2"/>
      <c r="X144" s="2"/>
      <c r="Y144" s="2"/>
      <c r="Z144" s="1">
        <f ca="1">IF(Table1[[#This Row],[Inactive_Date]]="",DATEDIF(Table1[[#This Row],[Date_Acq]],TODAY(),"m"),DATEDIF(Table1[[#This Row],[Date_Acq]],Table1[[#This Row],[Inactive_Date]],"m"))</f>
        <v>107</v>
      </c>
    </row>
    <row r="145" spans="1:26" s="16" customFormat="1" x14ac:dyDescent="0.4">
      <c r="A145" s="6"/>
      <c r="B145" s="7"/>
      <c r="C145" s="4">
        <v>39469</v>
      </c>
      <c r="D145" s="1" t="s">
        <v>295</v>
      </c>
      <c r="E145" s="1" t="s">
        <v>296</v>
      </c>
      <c r="F145" s="1" t="s">
        <v>296</v>
      </c>
      <c r="G145" s="1">
        <v>3399.95</v>
      </c>
      <c r="H145" s="21">
        <v>5535</v>
      </c>
      <c r="I145" s="21" t="s">
        <v>13</v>
      </c>
      <c r="J145" s="1" t="s">
        <v>38</v>
      </c>
      <c r="K145" s="1" t="s">
        <v>39</v>
      </c>
      <c r="L145" s="1" t="s">
        <v>35</v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>
        <f ca="1">IF(Table1[[#This Row],[Inactive_Date]]="",DATEDIF(Table1[[#This Row],[Date_Acq]],TODAY(),"m"),DATEDIF(Table1[[#This Row],[Date_Acq]],Table1[[#This Row],[Inactive_Date]],"m"))</f>
        <v>106</v>
      </c>
    </row>
    <row r="146" spans="1:26" s="16" customFormat="1" x14ac:dyDescent="0.4">
      <c r="A146" s="6"/>
      <c r="B146" s="7"/>
      <c r="C146" s="4">
        <v>39469</v>
      </c>
      <c r="D146" s="1" t="s">
        <v>295</v>
      </c>
      <c r="E146" s="1" t="s">
        <v>296</v>
      </c>
      <c r="F146" s="1" t="s">
        <v>296</v>
      </c>
      <c r="G146" s="1">
        <v>3399.95</v>
      </c>
      <c r="H146" s="21">
        <v>5535</v>
      </c>
      <c r="I146" s="21" t="s">
        <v>13</v>
      </c>
      <c r="J146" s="1" t="s">
        <v>38</v>
      </c>
      <c r="K146" s="1" t="s">
        <v>39</v>
      </c>
      <c r="L146" s="1" t="s">
        <v>35</v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>
        <f ca="1">IF(Table1[[#This Row],[Inactive_Date]]="",DATEDIF(Table1[[#This Row],[Date_Acq]],TODAY(),"m"),DATEDIF(Table1[[#This Row],[Date_Acq]],Table1[[#This Row],[Inactive_Date]],"m"))</f>
        <v>106</v>
      </c>
    </row>
    <row r="147" spans="1:26" s="16" customFormat="1" x14ac:dyDescent="0.4">
      <c r="A147" s="6"/>
      <c r="B147" s="7"/>
      <c r="C147" s="4">
        <v>39469</v>
      </c>
      <c r="D147" s="1" t="s">
        <v>295</v>
      </c>
      <c r="E147" s="1" t="s">
        <v>296</v>
      </c>
      <c r="F147" s="1" t="s">
        <v>296</v>
      </c>
      <c r="G147" s="1">
        <v>3399.95</v>
      </c>
      <c r="H147" s="21">
        <v>5535</v>
      </c>
      <c r="I147" s="21" t="s">
        <v>13</v>
      </c>
      <c r="J147" s="1" t="s">
        <v>38</v>
      </c>
      <c r="K147" s="1" t="s">
        <v>39</v>
      </c>
      <c r="L147" s="1" t="s">
        <v>35</v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>
        <f ca="1">IF(Table1[[#This Row],[Inactive_Date]]="",DATEDIF(Table1[[#This Row],[Date_Acq]],TODAY(),"m"),DATEDIF(Table1[[#This Row],[Date_Acq]],Table1[[#This Row],[Inactive_Date]],"m"))</f>
        <v>106</v>
      </c>
    </row>
    <row r="148" spans="1:26" s="16" customFormat="1" hidden="1" x14ac:dyDescent="0.4">
      <c r="A148" s="6"/>
      <c r="B148" s="7"/>
      <c r="C148" s="4">
        <v>39540</v>
      </c>
      <c r="D148" s="1"/>
      <c r="E148" s="1" t="s">
        <v>297</v>
      </c>
      <c r="F148" s="1" t="s">
        <v>297</v>
      </c>
      <c r="G148" s="1">
        <v>1805.94</v>
      </c>
      <c r="H148" s="21">
        <v>5690</v>
      </c>
      <c r="I148" s="21" t="s">
        <v>13</v>
      </c>
      <c r="J148" s="1" t="s">
        <v>73</v>
      </c>
      <c r="K148" s="1" t="s">
        <v>34</v>
      </c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>
        <f ca="1">IF(Table1[[#This Row],[Inactive_Date]]="",DATEDIF(Table1[[#This Row],[Date_Acq]],TODAY(),"m"),DATEDIF(Table1[[#This Row],[Date_Acq]],Table1[[#This Row],[Inactive_Date]],"m"))</f>
        <v>103</v>
      </c>
    </row>
    <row r="149" spans="1:26" s="16" customFormat="1" x14ac:dyDescent="0.4">
      <c r="A149" s="6"/>
      <c r="B149" s="7"/>
      <c r="C149" s="4">
        <v>39708</v>
      </c>
      <c r="D149" s="1" t="s">
        <v>298</v>
      </c>
      <c r="E149" s="1" t="s">
        <v>299</v>
      </c>
      <c r="F149" s="1" t="s">
        <v>299</v>
      </c>
      <c r="G149" s="1">
        <v>1000</v>
      </c>
      <c r="H149" s="21">
        <v>5510</v>
      </c>
      <c r="I149" s="21" t="s">
        <v>13</v>
      </c>
      <c r="J149" s="1" t="s">
        <v>38</v>
      </c>
      <c r="K149" s="1" t="s">
        <v>39</v>
      </c>
      <c r="L149" s="1" t="s">
        <v>35</v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>
        <f ca="1">IF(Table1[[#This Row],[Inactive_Date]]="",DATEDIF(Table1[[#This Row],[Date_Acq]],TODAY(),"m"),DATEDIF(Table1[[#This Row],[Date_Acq]],Table1[[#This Row],[Inactive_Date]],"m"))</f>
        <v>98</v>
      </c>
    </row>
    <row r="150" spans="1:26" s="16" customFormat="1" hidden="1" x14ac:dyDescent="0.4">
      <c r="A150" s="6"/>
      <c r="B150" s="7"/>
      <c r="C150" s="4">
        <v>39716</v>
      </c>
      <c r="D150" s="1" t="s">
        <v>177</v>
      </c>
      <c r="E150" s="1" t="s">
        <v>300</v>
      </c>
      <c r="F150" s="1" t="s">
        <v>300</v>
      </c>
      <c r="G150" s="1">
        <v>2000</v>
      </c>
      <c r="H150" s="21">
        <v>5647</v>
      </c>
      <c r="I150" s="21" t="s">
        <v>13</v>
      </c>
      <c r="J150" s="1" t="s">
        <v>55</v>
      </c>
      <c r="K150" s="1" t="s">
        <v>34</v>
      </c>
      <c r="L150" s="1" t="s">
        <v>35</v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>
        <f ca="1">IF(Table1[[#This Row],[Inactive_Date]]="",DATEDIF(Table1[[#This Row],[Date_Acq]],TODAY(),"m"),DATEDIF(Table1[[#This Row],[Date_Acq]],Table1[[#This Row],[Inactive_Date]],"m"))</f>
        <v>97</v>
      </c>
    </row>
    <row r="151" spans="1:26" s="16" customFormat="1" hidden="1" x14ac:dyDescent="0.4">
      <c r="A151" s="6"/>
      <c r="B151" s="7"/>
      <c r="C151" s="4">
        <v>39918</v>
      </c>
      <c r="D151" s="1" t="s">
        <v>301</v>
      </c>
      <c r="E151" s="1" t="s">
        <v>302</v>
      </c>
      <c r="F151" s="1" t="s">
        <v>302</v>
      </c>
      <c r="G151" s="1">
        <v>911</v>
      </c>
      <c r="H151" s="21">
        <v>33025</v>
      </c>
      <c r="I151" s="21" t="s">
        <v>13</v>
      </c>
      <c r="J151" s="1" t="s">
        <v>303</v>
      </c>
      <c r="K151" s="1" t="s">
        <v>34</v>
      </c>
      <c r="L151" s="1" t="s">
        <v>35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>
        <f ca="1">IF(Table1[[#This Row],[Inactive_Date]]="",DATEDIF(Table1[[#This Row],[Date_Acq]],TODAY(),"m"),DATEDIF(Table1[[#This Row],[Date_Acq]],Table1[[#This Row],[Inactive_Date]],"m"))</f>
        <v>91</v>
      </c>
    </row>
    <row r="152" spans="1:26" s="16" customFormat="1" hidden="1" x14ac:dyDescent="0.4">
      <c r="A152" s="6"/>
      <c r="B152" s="7"/>
      <c r="C152" s="4">
        <v>40092</v>
      </c>
      <c r="D152" s="1" t="s">
        <v>304</v>
      </c>
      <c r="E152" s="1" t="s">
        <v>305</v>
      </c>
      <c r="F152" s="1" t="s">
        <v>305</v>
      </c>
      <c r="G152" s="1">
        <v>381.46</v>
      </c>
      <c r="H152" s="21">
        <v>57610</v>
      </c>
      <c r="I152" s="21" t="s">
        <v>13</v>
      </c>
      <c r="J152" s="1" t="s">
        <v>55</v>
      </c>
      <c r="K152" s="1" t="s">
        <v>34</v>
      </c>
      <c r="L152" s="1" t="s">
        <v>35</v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>
        <f ca="1">IF(Table1[[#This Row],[Inactive_Date]]="",DATEDIF(Table1[[#This Row],[Date_Acq]],TODAY(),"m"),DATEDIF(Table1[[#This Row],[Date_Acq]],Table1[[#This Row],[Inactive_Date]],"m"))</f>
        <v>85</v>
      </c>
    </row>
    <row r="153" spans="1:26" s="16" customFormat="1" hidden="1" x14ac:dyDescent="0.4">
      <c r="A153" s="6"/>
      <c r="B153" s="7"/>
      <c r="C153" s="4">
        <v>40133</v>
      </c>
      <c r="D153" s="1" t="s">
        <v>306</v>
      </c>
      <c r="E153" s="1" t="s">
        <v>307</v>
      </c>
      <c r="F153" s="1" t="s">
        <v>307</v>
      </c>
      <c r="G153" s="1">
        <v>881.51</v>
      </c>
      <c r="H153" s="21">
        <v>57520</v>
      </c>
      <c r="I153" s="21" t="s">
        <v>13</v>
      </c>
      <c r="J153" s="1"/>
      <c r="K153" s="1" t="s">
        <v>34</v>
      </c>
      <c r="L153" s="1" t="s">
        <v>51</v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>
        <f ca="1">IF(Table1[[#This Row],[Inactive_Date]]="",DATEDIF(Table1[[#This Row],[Date_Acq]],TODAY(),"m"),DATEDIF(Table1[[#This Row],[Date_Acq]],Table1[[#This Row],[Inactive_Date]],"m"))</f>
        <v>84</v>
      </c>
    </row>
    <row r="154" spans="1:26" s="16" customFormat="1" x14ac:dyDescent="0.4">
      <c r="A154" s="6"/>
      <c r="B154" s="7"/>
      <c r="C154" s="4">
        <v>40162</v>
      </c>
      <c r="D154" s="1" t="s">
        <v>177</v>
      </c>
      <c r="E154" s="1" t="s">
        <v>308</v>
      </c>
      <c r="F154" s="1" t="s">
        <v>308</v>
      </c>
      <c r="G154" s="1">
        <v>1399.99</v>
      </c>
      <c r="H154" s="21">
        <v>59190</v>
      </c>
      <c r="I154" s="21" t="s">
        <v>13</v>
      </c>
      <c r="J154" s="1" t="s">
        <v>38</v>
      </c>
      <c r="K154" s="1" t="s">
        <v>39</v>
      </c>
      <c r="L154" s="1" t="s">
        <v>35</v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>
        <f ca="1">IF(Table1[[#This Row],[Inactive_Date]]="",DATEDIF(Table1[[#This Row],[Date_Acq]],TODAY(),"m"),DATEDIF(Table1[[#This Row],[Date_Acq]],Table1[[#This Row],[Inactive_Date]],"m"))</f>
        <v>83</v>
      </c>
    </row>
    <row r="155" spans="1:26" s="16" customFormat="1" x14ac:dyDescent="0.4">
      <c r="A155" s="6"/>
      <c r="B155" s="7"/>
      <c r="C155" s="4">
        <v>40162</v>
      </c>
      <c r="D155" s="1" t="s">
        <v>177</v>
      </c>
      <c r="E155" s="1" t="s">
        <v>308</v>
      </c>
      <c r="F155" s="1" t="s">
        <v>308</v>
      </c>
      <c r="G155" s="1">
        <v>1399.99</v>
      </c>
      <c r="H155" s="21">
        <v>59190</v>
      </c>
      <c r="I155" s="21" t="s">
        <v>13</v>
      </c>
      <c r="J155" s="1" t="s">
        <v>38</v>
      </c>
      <c r="K155" s="1" t="s">
        <v>39</v>
      </c>
      <c r="L155" s="1" t="s">
        <v>35</v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>
        <f ca="1">IF(Table1[[#This Row],[Inactive_Date]]="",DATEDIF(Table1[[#This Row],[Date_Acq]],TODAY(),"m"),DATEDIF(Table1[[#This Row],[Date_Acq]],Table1[[#This Row],[Inactive_Date]],"m"))</f>
        <v>83</v>
      </c>
    </row>
    <row r="156" spans="1:26" s="16" customFormat="1" x14ac:dyDescent="0.4">
      <c r="A156" s="6"/>
      <c r="B156" s="7"/>
      <c r="C156" s="4">
        <v>40163</v>
      </c>
      <c r="D156" s="1" t="s">
        <v>309</v>
      </c>
      <c r="E156" s="1" t="s">
        <v>310</v>
      </c>
      <c r="F156" s="1" t="s">
        <v>311</v>
      </c>
      <c r="G156" s="1">
        <v>5400</v>
      </c>
      <c r="H156" s="21">
        <v>0</v>
      </c>
      <c r="I156" s="21" t="s">
        <v>13</v>
      </c>
      <c r="J156" s="1" t="s">
        <v>73</v>
      </c>
      <c r="K156" s="1" t="s">
        <v>74</v>
      </c>
      <c r="L156" s="1" t="s">
        <v>35</v>
      </c>
      <c r="M156" s="1"/>
      <c r="N156" s="1" t="s">
        <v>75</v>
      </c>
      <c r="O156" s="1" t="s">
        <v>312</v>
      </c>
      <c r="P156" s="1" t="s">
        <v>313</v>
      </c>
      <c r="Q156" s="1"/>
      <c r="R156" s="1"/>
      <c r="S156" s="1"/>
      <c r="T156" s="1"/>
      <c r="U156" s="1"/>
      <c r="V156" s="1"/>
      <c r="W156" s="1"/>
      <c r="X156" s="1"/>
      <c r="Y156" s="1"/>
      <c r="Z156" s="1">
        <f ca="1">IF(Table1[[#This Row],[Inactive_Date]]="",DATEDIF(Table1[[#This Row],[Date_Acq]],TODAY(),"m"),DATEDIF(Table1[[#This Row],[Date_Acq]],Table1[[#This Row],[Inactive_Date]],"m"))</f>
        <v>83</v>
      </c>
    </row>
    <row r="157" spans="1:26" s="16" customFormat="1" x14ac:dyDescent="0.4">
      <c r="A157" s="6"/>
      <c r="B157" s="7"/>
      <c r="C157" s="4">
        <v>40164</v>
      </c>
      <c r="D157" s="1" t="s">
        <v>314</v>
      </c>
      <c r="E157" s="1" t="s">
        <v>315</v>
      </c>
      <c r="F157" s="1" t="s">
        <v>316</v>
      </c>
      <c r="G157" s="1">
        <v>7775</v>
      </c>
      <c r="H157" s="21">
        <v>59190</v>
      </c>
      <c r="I157" s="21" t="s">
        <v>13</v>
      </c>
      <c r="J157" s="1" t="s">
        <v>73</v>
      </c>
      <c r="K157" s="1" t="s">
        <v>74</v>
      </c>
      <c r="L157" s="1" t="s">
        <v>35</v>
      </c>
      <c r="M157" s="1"/>
      <c r="N157" s="1" t="s">
        <v>127</v>
      </c>
      <c r="O157" s="1" t="s">
        <v>317</v>
      </c>
      <c r="P157" s="1" t="s">
        <v>318</v>
      </c>
      <c r="Q157" s="1"/>
      <c r="R157" s="1"/>
      <c r="S157" s="1"/>
      <c r="T157" s="1"/>
      <c r="U157" s="1"/>
      <c r="V157" s="1"/>
      <c r="W157" s="1"/>
      <c r="X157" s="1"/>
      <c r="Y157" s="1"/>
      <c r="Z157" s="1">
        <f ca="1">IF(Table1[[#This Row],[Inactive_Date]]="",DATEDIF(Table1[[#This Row],[Date_Acq]],TODAY(),"m"),DATEDIF(Table1[[#This Row],[Date_Acq]],Table1[[#This Row],[Inactive_Date]],"m"))</f>
        <v>83</v>
      </c>
    </row>
    <row r="158" spans="1:26" s="16" customFormat="1" x14ac:dyDescent="0.4">
      <c r="A158" s="6"/>
      <c r="B158" s="7"/>
      <c r="C158" s="4">
        <v>40167</v>
      </c>
      <c r="D158" s="1" t="s">
        <v>265</v>
      </c>
      <c r="E158" s="1" t="s">
        <v>319</v>
      </c>
      <c r="F158" s="1" t="s">
        <v>319</v>
      </c>
      <c r="G158" s="1">
        <v>0</v>
      </c>
      <c r="H158" s="21">
        <v>2476</v>
      </c>
      <c r="I158" s="21" t="s">
        <v>13</v>
      </c>
      <c r="J158" s="1" t="s">
        <v>33</v>
      </c>
      <c r="K158" s="1" t="s">
        <v>56</v>
      </c>
      <c r="L158" s="1" t="s">
        <v>35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>
        <f ca="1">IF(Table1[[#This Row],[Inactive_Date]]="",DATEDIF(Table1[[#This Row],[Date_Acq]],TODAY(),"m"),DATEDIF(Table1[[#This Row],[Date_Acq]],Table1[[#This Row],[Inactive_Date]],"m"))</f>
        <v>83</v>
      </c>
    </row>
    <row r="159" spans="1:26" s="16" customFormat="1" x14ac:dyDescent="0.4">
      <c r="A159" s="6"/>
      <c r="B159" s="7"/>
      <c r="C159" s="4">
        <v>40182</v>
      </c>
      <c r="D159" s="1" t="s">
        <v>320</v>
      </c>
      <c r="E159" s="1" t="s">
        <v>321</v>
      </c>
      <c r="F159" s="1" t="s">
        <v>321</v>
      </c>
      <c r="G159" s="1">
        <v>3575</v>
      </c>
      <c r="H159" s="21">
        <v>33065</v>
      </c>
      <c r="I159" s="21" t="s">
        <v>13</v>
      </c>
      <c r="J159" s="1" t="s">
        <v>38</v>
      </c>
      <c r="K159" s="1" t="s">
        <v>39</v>
      </c>
      <c r="L159" s="1" t="s">
        <v>35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>
        <f ca="1">IF(Table1[[#This Row],[Inactive_Date]]="",DATEDIF(Table1[[#This Row],[Date_Acq]],TODAY(),"m"),DATEDIF(Table1[[#This Row],[Date_Acq]],Table1[[#This Row],[Inactive_Date]],"m"))</f>
        <v>82</v>
      </c>
    </row>
    <row r="160" spans="1:26" s="16" customFormat="1" x14ac:dyDescent="0.4">
      <c r="A160" s="6"/>
      <c r="B160" s="7"/>
      <c r="C160" s="4">
        <v>40182</v>
      </c>
      <c r="D160" s="1" t="s">
        <v>320</v>
      </c>
      <c r="E160" s="1" t="s">
        <v>321</v>
      </c>
      <c r="F160" s="1" t="s">
        <v>321</v>
      </c>
      <c r="G160" s="1">
        <v>3575</v>
      </c>
      <c r="H160" s="21">
        <v>33065</v>
      </c>
      <c r="I160" s="21" t="s">
        <v>13</v>
      </c>
      <c r="J160" s="1" t="s">
        <v>38</v>
      </c>
      <c r="K160" s="1" t="s">
        <v>39</v>
      </c>
      <c r="L160" s="1" t="s">
        <v>35</v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>
        <f ca="1">IF(Table1[[#This Row],[Inactive_Date]]="",DATEDIF(Table1[[#This Row],[Date_Acq]],TODAY(),"m"),DATEDIF(Table1[[#This Row],[Date_Acq]],Table1[[#This Row],[Inactive_Date]],"m"))</f>
        <v>82</v>
      </c>
    </row>
    <row r="161" spans="1:26" s="16" customFormat="1" x14ac:dyDescent="0.4">
      <c r="A161" s="6"/>
      <c r="B161" s="7"/>
      <c r="C161" s="4">
        <v>40189</v>
      </c>
      <c r="D161" s="1" t="s">
        <v>322</v>
      </c>
      <c r="E161" s="1" t="s">
        <v>323</v>
      </c>
      <c r="F161" s="1" t="s">
        <v>324</v>
      </c>
      <c r="G161" s="1">
        <v>4950</v>
      </c>
      <c r="H161" s="21">
        <v>59190</v>
      </c>
      <c r="I161" s="21" t="s">
        <v>13</v>
      </c>
      <c r="J161" s="1" t="s">
        <v>73</v>
      </c>
      <c r="K161" s="1" t="s">
        <v>74</v>
      </c>
      <c r="L161" s="1" t="s">
        <v>35</v>
      </c>
      <c r="M161" s="1"/>
      <c r="N161" s="1" t="s">
        <v>75</v>
      </c>
      <c r="O161" s="1" t="s">
        <v>325</v>
      </c>
      <c r="P161" s="1" t="s">
        <v>326</v>
      </c>
      <c r="Q161" s="1"/>
      <c r="R161" s="1"/>
      <c r="S161" s="1"/>
      <c r="T161" s="1"/>
      <c r="U161" s="1"/>
      <c r="V161" s="1"/>
      <c r="W161" s="1"/>
      <c r="X161" s="1"/>
      <c r="Y161" s="1"/>
      <c r="Z161" s="1">
        <f ca="1">IF(Table1[[#This Row],[Inactive_Date]]="",DATEDIF(Table1[[#This Row],[Date_Acq]],TODAY(),"m"),DATEDIF(Table1[[#This Row],[Date_Acq]],Table1[[#This Row],[Inactive_Date]],"m"))</f>
        <v>82</v>
      </c>
    </row>
    <row r="162" spans="1:26" s="16" customFormat="1" x14ac:dyDescent="0.4">
      <c r="A162" s="6"/>
      <c r="B162" s="7"/>
      <c r="C162" s="4">
        <v>40289</v>
      </c>
      <c r="D162" s="1" t="s">
        <v>327</v>
      </c>
      <c r="E162" s="1" t="s">
        <v>328</v>
      </c>
      <c r="F162" s="1" t="s">
        <v>328</v>
      </c>
      <c r="G162" s="1">
        <v>1399</v>
      </c>
      <c r="H162" s="21">
        <v>54250</v>
      </c>
      <c r="I162" s="21" t="s">
        <v>13</v>
      </c>
      <c r="J162" s="1" t="s">
        <v>33</v>
      </c>
      <c r="K162" s="1" t="s">
        <v>39</v>
      </c>
      <c r="L162" s="1" t="s">
        <v>35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>
        <f ca="1">IF(Table1[[#This Row],[Inactive_Date]]="",DATEDIF(Table1[[#This Row],[Date_Acq]],TODAY(),"m"),DATEDIF(Table1[[#This Row],[Date_Acq]],Table1[[#This Row],[Inactive_Date]],"m"))</f>
        <v>79</v>
      </c>
    </row>
    <row r="163" spans="1:26" s="16" customFormat="1" hidden="1" x14ac:dyDescent="0.4">
      <c r="A163" s="6"/>
      <c r="B163" s="7"/>
      <c r="C163" s="4">
        <v>40294</v>
      </c>
      <c r="D163" s="1" t="s">
        <v>165</v>
      </c>
      <c r="E163" s="1" t="s">
        <v>329</v>
      </c>
      <c r="F163" s="1" t="s">
        <v>329</v>
      </c>
      <c r="G163" s="1">
        <v>517.94000000000005</v>
      </c>
      <c r="H163" s="21">
        <v>33065</v>
      </c>
      <c r="I163" s="21" t="s">
        <v>13</v>
      </c>
      <c r="J163" s="1" t="s">
        <v>38</v>
      </c>
      <c r="K163" s="1" t="s">
        <v>34</v>
      </c>
      <c r="L163" s="1" t="s">
        <v>35</v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>
        <f ca="1">IF(Table1[[#This Row],[Inactive_Date]]="",DATEDIF(Table1[[#This Row],[Date_Acq]],TODAY(),"m"),DATEDIF(Table1[[#This Row],[Date_Acq]],Table1[[#This Row],[Inactive_Date]],"m"))</f>
        <v>78</v>
      </c>
    </row>
    <row r="164" spans="1:26" s="16" customFormat="1" hidden="1" x14ac:dyDescent="0.4">
      <c r="A164" s="6"/>
      <c r="B164" s="7"/>
      <c r="C164" s="4">
        <v>40294</v>
      </c>
      <c r="D164" s="1" t="s">
        <v>165</v>
      </c>
      <c r="E164" s="1" t="s">
        <v>330</v>
      </c>
      <c r="F164" s="1" t="s">
        <v>330</v>
      </c>
      <c r="G164" s="1">
        <v>757</v>
      </c>
      <c r="H164" s="21">
        <v>33065</v>
      </c>
      <c r="I164" s="21" t="s">
        <v>13</v>
      </c>
      <c r="J164" s="1" t="s">
        <v>38</v>
      </c>
      <c r="K164" s="1" t="s">
        <v>34</v>
      </c>
      <c r="L164" s="1" t="s">
        <v>35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>
        <f ca="1">IF(Table1[[#This Row],[Inactive_Date]]="",DATEDIF(Table1[[#This Row],[Date_Acq]],TODAY(),"m"),DATEDIF(Table1[[#This Row],[Date_Acq]],Table1[[#This Row],[Inactive_Date]],"m"))</f>
        <v>78</v>
      </c>
    </row>
    <row r="165" spans="1:26" s="16" customFormat="1" hidden="1" x14ac:dyDescent="0.4">
      <c r="A165" s="6"/>
      <c r="B165" s="7"/>
      <c r="C165" s="4">
        <v>40294</v>
      </c>
      <c r="D165" s="1" t="s">
        <v>165</v>
      </c>
      <c r="E165" s="1" t="s">
        <v>331</v>
      </c>
      <c r="F165" s="1" t="s">
        <v>331</v>
      </c>
      <c r="G165" s="1">
        <v>597.63</v>
      </c>
      <c r="H165" s="21">
        <v>33065</v>
      </c>
      <c r="I165" s="21" t="s">
        <v>13</v>
      </c>
      <c r="J165" s="1" t="s">
        <v>38</v>
      </c>
      <c r="K165" s="1" t="s">
        <v>34</v>
      </c>
      <c r="L165" s="1" t="s">
        <v>35</v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>
        <f ca="1">IF(Table1[[#This Row],[Inactive_Date]]="",DATEDIF(Table1[[#This Row],[Date_Acq]],TODAY(),"m"),DATEDIF(Table1[[#This Row],[Date_Acq]],Table1[[#This Row],[Inactive_Date]],"m"))</f>
        <v>78</v>
      </c>
    </row>
    <row r="166" spans="1:26" s="16" customFormat="1" hidden="1" x14ac:dyDescent="0.4">
      <c r="A166" s="6"/>
      <c r="B166" s="7"/>
      <c r="C166" s="4">
        <v>40294</v>
      </c>
      <c r="D166" s="1" t="s">
        <v>165</v>
      </c>
      <c r="E166" s="1" t="s">
        <v>332</v>
      </c>
      <c r="F166" s="1" t="s">
        <v>332</v>
      </c>
      <c r="G166" s="1">
        <v>701.22</v>
      </c>
      <c r="H166" s="21">
        <v>33065</v>
      </c>
      <c r="I166" s="21" t="s">
        <v>13</v>
      </c>
      <c r="J166" s="1" t="s">
        <v>38</v>
      </c>
      <c r="K166" s="1" t="s">
        <v>34</v>
      </c>
      <c r="L166" s="1" t="s">
        <v>35</v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>
        <f ca="1">IF(Table1[[#This Row],[Inactive_Date]]="",DATEDIF(Table1[[#This Row],[Date_Acq]],TODAY(),"m"),DATEDIF(Table1[[#This Row],[Date_Acq]],Table1[[#This Row],[Inactive_Date]],"m"))</f>
        <v>78</v>
      </c>
    </row>
    <row r="167" spans="1:26" s="16" customFormat="1" hidden="1" x14ac:dyDescent="0.4">
      <c r="A167" s="6"/>
      <c r="B167" s="7"/>
      <c r="C167" s="4">
        <v>40295</v>
      </c>
      <c r="D167" s="1" t="s">
        <v>165</v>
      </c>
      <c r="E167" s="1" t="s">
        <v>333</v>
      </c>
      <c r="F167" s="1" t="s">
        <v>333</v>
      </c>
      <c r="G167" s="1">
        <v>262.94</v>
      </c>
      <c r="H167" s="21">
        <v>33065</v>
      </c>
      <c r="I167" s="21" t="s">
        <v>13</v>
      </c>
      <c r="J167" s="1" t="s">
        <v>38</v>
      </c>
      <c r="K167" s="1" t="s">
        <v>34</v>
      </c>
      <c r="L167" s="1" t="s">
        <v>35</v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>
        <f ca="1">IF(Table1[[#This Row],[Inactive_Date]]="",DATEDIF(Table1[[#This Row],[Date_Acq]],TODAY(),"m"),DATEDIF(Table1[[#This Row],[Date_Acq]],Table1[[#This Row],[Inactive_Date]],"m"))</f>
        <v>78</v>
      </c>
    </row>
    <row r="168" spans="1:26" s="17" customFormat="1" x14ac:dyDescent="0.4">
      <c r="A168" s="6"/>
      <c r="B168" s="7"/>
      <c r="C168" s="4">
        <v>40298</v>
      </c>
      <c r="D168" s="2" t="s">
        <v>334</v>
      </c>
      <c r="E168" s="2" t="s">
        <v>335</v>
      </c>
      <c r="F168" s="2" t="s">
        <v>335</v>
      </c>
      <c r="G168" s="2">
        <v>1064.29</v>
      </c>
      <c r="H168" s="21">
        <v>57530</v>
      </c>
      <c r="I168" s="21" t="s">
        <v>13</v>
      </c>
      <c r="J168" s="2" t="s">
        <v>46</v>
      </c>
      <c r="K168" s="2" t="s">
        <v>39</v>
      </c>
      <c r="L168" s="2" t="s">
        <v>35</v>
      </c>
      <c r="M168" s="2"/>
      <c r="N168" s="2"/>
      <c r="O168" s="2"/>
      <c r="P168" s="2"/>
      <c r="Q168" s="2"/>
      <c r="R168" s="1"/>
      <c r="S168" s="2"/>
      <c r="T168" s="1"/>
      <c r="U168" s="1"/>
      <c r="V168" s="2"/>
      <c r="W168" s="2"/>
      <c r="X168" s="2"/>
      <c r="Y168" s="2"/>
      <c r="Z168" s="1">
        <f ca="1">IF(Table1[[#This Row],[Inactive_Date]]="",DATEDIF(Table1[[#This Row],[Date_Acq]],TODAY(),"m"),DATEDIF(Table1[[#This Row],[Date_Acq]],Table1[[#This Row],[Inactive_Date]],"m"))</f>
        <v>78</v>
      </c>
    </row>
    <row r="169" spans="1:26" s="16" customFormat="1" hidden="1" x14ac:dyDescent="0.4">
      <c r="A169" s="6"/>
      <c r="B169" s="7"/>
      <c r="C169" s="4">
        <v>40337</v>
      </c>
      <c r="D169" s="1" t="s">
        <v>336</v>
      </c>
      <c r="E169" s="1" t="s">
        <v>337</v>
      </c>
      <c r="F169" s="1" t="s">
        <v>337</v>
      </c>
      <c r="G169" s="1">
        <v>890.19</v>
      </c>
      <c r="H169" s="21">
        <v>57840</v>
      </c>
      <c r="I169" s="21" t="s">
        <v>13</v>
      </c>
      <c r="J169" s="1" t="s">
        <v>33</v>
      </c>
      <c r="K169" s="1" t="s">
        <v>34</v>
      </c>
      <c r="L169" s="1" t="s">
        <v>35</v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>
        <f ca="1">IF(Table1[[#This Row],[Inactive_Date]]="",DATEDIF(Table1[[#This Row],[Date_Acq]],TODAY(),"m"),DATEDIF(Table1[[#This Row],[Date_Acq]],Table1[[#This Row],[Inactive_Date]],"m"))</f>
        <v>77</v>
      </c>
    </row>
    <row r="170" spans="1:26" s="16" customFormat="1" hidden="1" x14ac:dyDescent="0.4">
      <c r="A170" s="6"/>
      <c r="B170" s="7"/>
      <c r="C170" s="4">
        <v>40337</v>
      </c>
      <c r="D170" s="1" t="s">
        <v>336</v>
      </c>
      <c r="E170" s="1" t="s">
        <v>338</v>
      </c>
      <c r="F170" s="1" t="s">
        <v>338</v>
      </c>
      <c r="G170" s="1">
        <v>539.1</v>
      </c>
      <c r="H170" s="21">
        <v>57840</v>
      </c>
      <c r="I170" s="21" t="s">
        <v>13</v>
      </c>
      <c r="J170" s="1" t="s">
        <v>33</v>
      </c>
      <c r="K170" s="1" t="s">
        <v>34</v>
      </c>
      <c r="L170" s="1" t="s">
        <v>35</v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>
        <f ca="1">IF(Table1[[#This Row],[Inactive_Date]]="",DATEDIF(Table1[[#This Row],[Date_Acq]],TODAY(),"m"),DATEDIF(Table1[[#This Row],[Date_Acq]],Table1[[#This Row],[Inactive_Date]],"m"))</f>
        <v>77</v>
      </c>
    </row>
    <row r="171" spans="1:26" s="16" customFormat="1" hidden="1" x14ac:dyDescent="0.4">
      <c r="A171" s="6"/>
      <c r="B171" s="7"/>
      <c r="C171" s="4">
        <v>40359</v>
      </c>
      <c r="D171" s="1" t="s">
        <v>339</v>
      </c>
      <c r="E171" s="1" t="s">
        <v>340</v>
      </c>
      <c r="F171" s="1" t="s">
        <v>340</v>
      </c>
      <c r="G171" s="1">
        <v>919.98</v>
      </c>
      <c r="H171" s="21">
        <v>51150</v>
      </c>
      <c r="I171" s="21" t="s">
        <v>13</v>
      </c>
      <c r="J171" s="1" t="s">
        <v>303</v>
      </c>
      <c r="K171" s="1" t="s">
        <v>34</v>
      </c>
      <c r="L171" s="1" t="s">
        <v>35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>
        <f ca="1">IF(Table1[[#This Row],[Inactive_Date]]="",DATEDIF(Table1[[#This Row],[Date_Acq]],TODAY(),"m"),DATEDIF(Table1[[#This Row],[Date_Acq]],Table1[[#This Row],[Inactive_Date]],"m"))</f>
        <v>76</v>
      </c>
    </row>
    <row r="172" spans="1:26" s="16" customFormat="1" hidden="1" x14ac:dyDescent="0.4">
      <c r="A172" s="6"/>
      <c r="B172" s="7"/>
      <c r="C172" s="4">
        <v>40359</v>
      </c>
      <c r="D172" s="1" t="s">
        <v>339</v>
      </c>
      <c r="E172" s="1" t="s">
        <v>340</v>
      </c>
      <c r="F172" s="1" t="s">
        <v>340</v>
      </c>
      <c r="G172" s="1">
        <v>919.98</v>
      </c>
      <c r="H172" s="21">
        <v>51150</v>
      </c>
      <c r="I172" s="21" t="s">
        <v>13</v>
      </c>
      <c r="J172" s="1" t="s">
        <v>303</v>
      </c>
      <c r="K172" s="1" t="s">
        <v>34</v>
      </c>
      <c r="L172" s="1" t="s">
        <v>35</v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>
        <f ca="1">IF(Table1[[#This Row],[Inactive_Date]]="",DATEDIF(Table1[[#This Row],[Date_Acq]],TODAY(),"m"),DATEDIF(Table1[[#This Row],[Date_Acq]],Table1[[#This Row],[Inactive_Date]],"m"))</f>
        <v>76</v>
      </c>
    </row>
    <row r="173" spans="1:26" s="16" customFormat="1" hidden="1" x14ac:dyDescent="0.4">
      <c r="A173" s="6"/>
      <c r="B173" s="7"/>
      <c r="C173" s="4">
        <v>40366</v>
      </c>
      <c r="D173" s="1" t="s">
        <v>341</v>
      </c>
      <c r="E173" s="1" t="s">
        <v>342</v>
      </c>
      <c r="F173" s="1" t="s">
        <v>342</v>
      </c>
      <c r="G173" s="1">
        <v>499.99</v>
      </c>
      <c r="H173" s="21">
        <v>52100</v>
      </c>
      <c r="I173" s="21" t="s">
        <v>13</v>
      </c>
      <c r="J173" s="1"/>
      <c r="K173" s="1" t="s">
        <v>34</v>
      </c>
      <c r="L173" s="1" t="s">
        <v>51</v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>
        <f ca="1">IF(Table1[[#This Row],[Inactive_Date]]="",DATEDIF(Table1[[#This Row],[Date_Acq]],TODAY(),"m"),DATEDIF(Table1[[#This Row],[Date_Acq]],Table1[[#This Row],[Inactive_Date]],"m"))</f>
        <v>76</v>
      </c>
    </row>
    <row r="174" spans="1:26" s="16" customFormat="1" hidden="1" x14ac:dyDescent="0.4">
      <c r="A174" s="6"/>
      <c r="B174" s="7"/>
      <c r="C174" s="4">
        <v>40375</v>
      </c>
      <c r="D174" s="1" t="s">
        <v>341</v>
      </c>
      <c r="E174" s="1" t="s">
        <v>343</v>
      </c>
      <c r="F174" s="1" t="s">
        <v>343</v>
      </c>
      <c r="G174" s="1">
        <v>994.99</v>
      </c>
      <c r="H174" s="21">
        <v>58660</v>
      </c>
      <c r="I174" s="21" t="s">
        <v>13</v>
      </c>
      <c r="J174" s="1"/>
      <c r="K174" s="1" t="s">
        <v>34</v>
      </c>
      <c r="L174" s="1" t="s">
        <v>51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>
        <f ca="1">IF(Table1[[#This Row],[Inactive_Date]]="",DATEDIF(Table1[[#This Row],[Date_Acq]],TODAY(),"m"),DATEDIF(Table1[[#This Row],[Date_Acq]],Table1[[#This Row],[Inactive_Date]],"m"))</f>
        <v>76</v>
      </c>
    </row>
    <row r="175" spans="1:26" s="16" customFormat="1" x14ac:dyDescent="0.4">
      <c r="A175" s="6"/>
      <c r="B175" s="7"/>
      <c r="C175" s="4">
        <v>40375</v>
      </c>
      <c r="D175" s="1" t="s">
        <v>341</v>
      </c>
      <c r="E175" s="1" t="s">
        <v>344</v>
      </c>
      <c r="F175" s="1" t="s">
        <v>344</v>
      </c>
      <c r="G175" s="1">
        <v>5699.95</v>
      </c>
      <c r="H175" s="21">
        <v>58660</v>
      </c>
      <c r="I175" s="21" t="s">
        <v>167</v>
      </c>
      <c r="J175" s="1"/>
      <c r="K175" s="1" t="s">
        <v>39</v>
      </c>
      <c r="L175" s="1" t="s">
        <v>51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>
        <f ca="1">IF(Table1[[#This Row],[Inactive_Date]]="",DATEDIF(Table1[[#This Row],[Date_Acq]],TODAY(),"m"),DATEDIF(Table1[[#This Row],[Date_Acq]],Table1[[#This Row],[Inactive_Date]],"m"))</f>
        <v>76</v>
      </c>
    </row>
    <row r="176" spans="1:26" s="16" customFormat="1" hidden="1" x14ac:dyDescent="0.4">
      <c r="A176" s="6"/>
      <c r="B176" s="7"/>
      <c r="C176" s="4">
        <v>40414</v>
      </c>
      <c r="D176" s="1" t="s">
        <v>295</v>
      </c>
      <c r="E176" s="1" t="s">
        <v>345</v>
      </c>
      <c r="F176" s="1" t="s">
        <v>345</v>
      </c>
      <c r="G176" s="1">
        <v>945.25</v>
      </c>
      <c r="H176" s="21">
        <v>57530</v>
      </c>
      <c r="I176" s="21" t="s">
        <v>13</v>
      </c>
      <c r="J176" s="1" t="s">
        <v>38</v>
      </c>
      <c r="K176" s="1" t="s">
        <v>34</v>
      </c>
      <c r="L176" s="1" t="s">
        <v>35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>
        <f ca="1">IF(Table1[[#This Row],[Inactive_Date]]="",DATEDIF(Table1[[#This Row],[Date_Acq]],TODAY(),"m"),DATEDIF(Table1[[#This Row],[Date_Acq]],Table1[[#This Row],[Inactive_Date]],"m"))</f>
        <v>74</v>
      </c>
    </row>
    <row r="177" spans="1:26" s="16" customFormat="1" x14ac:dyDescent="0.4">
      <c r="A177" s="6"/>
      <c r="B177" s="7"/>
      <c r="C177" s="4">
        <v>40513</v>
      </c>
      <c r="D177" s="1" t="s">
        <v>346</v>
      </c>
      <c r="E177" s="1" t="s">
        <v>347</v>
      </c>
      <c r="F177" s="1" t="s">
        <v>347</v>
      </c>
      <c r="G177" s="1">
        <v>1198.1300000000001</v>
      </c>
      <c r="H177" s="21">
        <v>56300</v>
      </c>
      <c r="I177" s="21" t="s">
        <v>13</v>
      </c>
      <c r="J177" s="1" t="s">
        <v>38</v>
      </c>
      <c r="K177" s="1" t="s">
        <v>39</v>
      </c>
      <c r="L177" s="1" t="s">
        <v>35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>
        <f ca="1">IF(Table1[[#This Row],[Inactive_Date]]="",DATEDIF(Table1[[#This Row],[Date_Acq]],TODAY(),"m"),DATEDIF(Table1[[#This Row],[Date_Acq]],Table1[[#This Row],[Inactive_Date]],"m"))</f>
        <v>71</v>
      </c>
    </row>
    <row r="178" spans="1:26" s="16" customFormat="1" x14ac:dyDescent="0.4">
      <c r="A178" s="6"/>
      <c r="B178" s="7"/>
      <c r="C178" s="4">
        <v>40618</v>
      </c>
      <c r="D178" s="1" t="s">
        <v>113</v>
      </c>
      <c r="E178" s="1" t="s">
        <v>348</v>
      </c>
      <c r="F178" s="1" t="s">
        <v>348</v>
      </c>
      <c r="G178" s="1">
        <v>1549</v>
      </c>
      <c r="H178" s="21">
        <v>56250</v>
      </c>
      <c r="I178" s="21" t="s">
        <v>13</v>
      </c>
      <c r="J178" s="1" t="s">
        <v>38</v>
      </c>
      <c r="K178" s="1" t="s">
        <v>39</v>
      </c>
      <c r="L178" s="1" t="s">
        <v>35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>
        <f ca="1">IF(Table1[[#This Row],[Inactive_Date]]="",DATEDIF(Table1[[#This Row],[Date_Acq]],TODAY(),"m"),DATEDIF(Table1[[#This Row],[Date_Acq]],Table1[[#This Row],[Inactive_Date]],"m"))</f>
        <v>68</v>
      </c>
    </row>
    <row r="179" spans="1:26" s="16" customFormat="1" x14ac:dyDescent="0.4">
      <c r="A179" s="6"/>
      <c r="B179" s="7"/>
      <c r="C179" s="4">
        <v>40660</v>
      </c>
      <c r="D179" s="1" t="s">
        <v>349</v>
      </c>
      <c r="E179" s="1" t="s">
        <v>350</v>
      </c>
      <c r="F179" s="1" t="s">
        <v>350</v>
      </c>
      <c r="G179" s="1">
        <v>3784.97</v>
      </c>
      <c r="H179" s="21">
        <v>15400</v>
      </c>
      <c r="I179" s="21" t="s">
        <v>13</v>
      </c>
      <c r="J179" s="1" t="s">
        <v>38</v>
      </c>
      <c r="K179" s="1" t="s">
        <v>39</v>
      </c>
      <c r="L179" s="1" t="s">
        <v>35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>
        <f ca="1">IF(Table1[[#This Row],[Inactive_Date]]="",DATEDIF(Table1[[#This Row],[Date_Acq]],TODAY(),"m"),DATEDIF(Table1[[#This Row],[Date_Acq]],Table1[[#This Row],[Inactive_Date]],"m"))</f>
        <v>66</v>
      </c>
    </row>
    <row r="180" spans="1:26" s="16" customFormat="1" x14ac:dyDescent="0.4">
      <c r="A180" s="6"/>
      <c r="B180" s="7"/>
      <c r="C180" s="4">
        <v>40660</v>
      </c>
      <c r="D180" s="1" t="s">
        <v>349</v>
      </c>
      <c r="E180" s="1" t="s">
        <v>351</v>
      </c>
      <c r="F180" s="1" t="s">
        <v>351</v>
      </c>
      <c r="G180" s="1">
        <v>3270.59</v>
      </c>
      <c r="H180" s="21">
        <v>15400</v>
      </c>
      <c r="I180" s="21" t="s">
        <v>13</v>
      </c>
      <c r="J180" s="1" t="s">
        <v>38</v>
      </c>
      <c r="K180" s="1" t="s">
        <v>39</v>
      </c>
      <c r="L180" s="1" t="s">
        <v>35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>
        <f ca="1">IF(Table1[[#This Row],[Inactive_Date]]="",DATEDIF(Table1[[#This Row],[Date_Acq]],TODAY(),"m"),DATEDIF(Table1[[#This Row],[Date_Acq]],Table1[[#This Row],[Inactive_Date]],"m"))</f>
        <v>66</v>
      </c>
    </row>
    <row r="181" spans="1:26" s="16" customFormat="1" x14ac:dyDescent="0.4">
      <c r="A181" s="6"/>
      <c r="B181" s="7"/>
      <c r="C181" s="4">
        <v>40660</v>
      </c>
      <c r="D181" s="1" t="s">
        <v>349</v>
      </c>
      <c r="E181" s="1" t="s">
        <v>351</v>
      </c>
      <c r="F181" s="1" t="s">
        <v>351</v>
      </c>
      <c r="G181" s="1">
        <v>3270.59</v>
      </c>
      <c r="H181" s="21">
        <v>15400</v>
      </c>
      <c r="I181" s="21" t="s">
        <v>13</v>
      </c>
      <c r="J181" s="1" t="s">
        <v>38</v>
      </c>
      <c r="K181" s="1" t="s">
        <v>39</v>
      </c>
      <c r="L181" s="1" t="s">
        <v>35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>
        <f ca="1">IF(Table1[[#This Row],[Inactive_Date]]="",DATEDIF(Table1[[#This Row],[Date_Acq]],TODAY(),"m"),DATEDIF(Table1[[#This Row],[Date_Acq]],Table1[[#This Row],[Inactive_Date]],"m"))</f>
        <v>66</v>
      </c>
    </row>
    <row r="182" spans="1:26" s="16" customFormat="1" x14ac:dyDescent="0.4">
      <c r="A182" s="6"/>
      <c r="B182" s="7"/>
      <c r="C182" s="4">
        <v>40660</v>
      </c>
      <c r="D182" s="1" t="s">
        <v>349</v>
      </c>
      <c r="E182" s="1" t="s">
        <v>352</v>
      </c>
      <c r="F182" s="1" t="s">
        <v>352</v>
      </c>
      <c r="G182" s="1">
        <v>9456.68</v>
      </c>
      <c r="H182" s="21">
        <v>15400</v>
      </c>
      <c r="I182" s="21" t="s">
        <v>13</v>
      </c>
      <c r="J182" s="1" t="s">
        <v>38</v>
      </c>
      <c r="K182" s="1" t="s">
        <v>39</v>
      </c>
      <c r="L182" s="1" t="s">
        <v>35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>
        <f ca="1">IF(Table1[[#This Row],[Inactive_Date]]="",DATEDIF(Table1[[#This Row],[Date_Acq]],TODAY(),"m"),DATEDIF(Table1[[#This Row],[Date_Acq]],Table1[[#This Row],[Inactive_Date]],"m"))</f>
        <v>66</v>
      </c>
    </row>
    <row r="183" spans="1:26" s="16" customFormat="1" x14ac:dyDescent="0.4">
      <c r="A183" s="6"/>
      <c r="B183" s="7"/>
      <c r="C183" s="4">
        <v>40660</v>
      </c>
      <c r="D183" s="1" t="s">
        <v>349</v>
      </c>
      <c r="E183" s="1" t="s">
        <v>353</v>
      </c>
      <c r="F183" s="1" t="s">
        <v>353</v>
      </c>
      <c r="G183" s="1">
        <v>3444.97</v>
      </c>
      <c r="H183" s="21">
        <v>15400</v>
      </c>
      <c r="I183" s="21" t="s">
        <v>13</v>
      </c>
      <c r="J183" s="1" t="s">
        <v>38</v>
      </c>
      <c r="K183" s="1" t="s">
        <v>39</v>
      </c>
      <c r="L183" s="1" t="s">
        <v>35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>
        <f ca="1">IF(Table1[[#This Row],[Inactive_Date]]="",DATEDIF(Table1[[#This Row],[Date_Acq]],TODAY(),"m"),DATEDIF(Table1[[#This Row],[Date_Acq]],Table1[[#This Row],[Inactive_Date]],"m"))</f>
        <v>66</v>
      </c>
    </row>
    <row r="184" spans="1:26" s="16" customFormat="1" x14ac:dyDescent="0.4">
      <c r="A184" s="6"/>
      <c r="B184" s="7"/>
      <c r="C184" s="4">
        <v>40660</v>
      </c>
      <c r="D184" s="1" t="s">
        <v>349</v>
      </c>
      <c r="E184" s="1" t="s">
        <v>354</v>
      </c>
      <c r="F184" s="1" t="s">
        <v>354</v>
      </c>
      <c r="G184" s="1">
        <v>40614.94</v>
      </c>
      <c r="H184" s="21">
        <v>15400</v>
      </c>
      <c r="I184" s="21" t="s">
        <v>13</v>
      </c>
      <c r="J184" s="1" t="s">
        <v>38</v>
      </c>
      <c r="K184" s="1" t="s">
        <v>39</v>
      </c>
      <c r="L184" s="1" t="s">
        <v>35</v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>
        <f ca="1">IF(Table1[[#This Row],[Inactive_Date]]="",DATEDIF(Table1[[#This Row],[Date_Acq]],TODAY(),"m"),DATEDIF(Table1[[#This Row],[Date_Acq]],Table1[[#This Row],[Inactive_Date]],"m"))</f>
        <v>66</v>
      </c>
    </row>
    <row r="185" spans="1:26" s="16" customFormat="1" x14ac:dyDescent="0.4">
      <c r="A185" s="6"/>
      <c r="B185" s="7"/>
      <c r="C185" s="4">
        <v>40694</v>
      </c>
      <c r="D185" s="1" t="s">
        <v>349</v>
      </c>
      <c r="E185" s="1" t="s">
        <v>355</v>
      </c>
      <c r="F185" s="1" t="s">
        <v>355</v>
      </c>
      <c r="G185" s="1">
        <v>12241.29</v>
      </c>
      <c r="H185" s="21">
        <v>15400</v>
      </c>
      <c r="I185" s="21" t="s">
        <v>13</v>
      </c>
      <c r="J185" s="1" t="s">
        <v>38</v>
      </c>
      <c r="K185" s="1" t="s">
        <v>39</v>
      </c>
      <c r="L185" s="1" t="s">
        <v>35</v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>
        <f ca="1">IF(Table1[[#This Row],[Inactive_Date]]="",DATEDIF(Table1[[#This Row],[Date_Acq]],TODAY(),"m"),DATEDIF(Table1[[#This Row],[Date_Acq]],Table1[[#This Row],[Inactive_Date]],"m"))</f>
        <v>65</v>
      </c>
    </row>
    <row r="186" spans="1:26" s="16" customFormat="1" hidden="1" x14ac:dyDescent="0.4">
      <c r="A186" s="6"/>
      <c r="B186" s="7"/>
      <c r="C186" s="4">
        <v>40751</v>
      </c>
      <c r="D186" s="1" t="s">
        <v>113</v>
      </c>
      <c r="E186" s="1" t="s">
        <v>356</v>
      </c>
      <c r="F186" s="1" t="s">
        <v>356</v>
      </c>
      <c r="G186" s="1">
        <v>1799.98</v>
      </c>
      <c r="H186" s="21">
        <v>58620</v>
      </c>
      <c r="I186" s="21" t="s">
        <v>13</v>
      </c>
      <c r="J186" s="1"/>
      <c r="K186" s="1" t="s">
        <v>34</v>
      </c>
      <c r="L186" s="1" t="s">
        <v>51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>
        <f ca="1">IF(Table1[[#This Row],[Inactive_Date]]="",DATEDIF(Table1[[#This Row],[Date_Acq]],TODAY(),"m"),DATEDIF(Table1[[#This Row],[Date_Acq]],Table1[[#This Row],[Inactive_Date]],"m"))</f>
        <v>63</v>
      </c>
    </row>
    <row r="187" spans="1:26" s="16" customFormat="1" hidden="1" x14ac:dyDescent="0.4">
      <c r="A187" s="6"/>
      <c r="B187" s="7"/>
      <c r="C187" s="4">
        <v>40752</v>
      </c>
      <c r="D187" s="1" t="s">
        <v>208</v>
      </c>
      <c r="E187" s="1" t="s">
        <v>357</v>
      </c>
      <c r="F187" s="1" t="s">
        <v>357</v>
      </c>
      <c r="G187" s="1">
        <v>980</v>
      </c>
      <c r="H187" s="21">
        <v>54240</v>
      </c>
      <c r="I187" s="21" t="s">
        <v>13</v>
      </c>
      <c r="J187" s="1" t="s">
        <v>33</v>
      </c>
      <c r="K187" s="1" t="s">
        <v>34</v>
      </c>
      <c r="L187" s="1" t="s">
        <v>35</v>
      </c>
      <c r="M187" s="1"/>
      <c r="N187" s="1" t="s">
        <v>210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>
        <f ca="1">IF(Table1[[#This Row],[Inactive_Date]]="",DATEDIF(Table1[[#This Row],[Date_Acq]],TODAY(),"m"),DATEDIF(Table1[[#This Row],[Date_Acq]],Table1[[#This Row],[Inactive_Date]],"m"))</f>
        <v>63</v>
      </c>
    </row>
    <row r="188" spans="1:26" s="16" customFormat="1" hidden="1" x14ac:dyDescent="0.4">
      <c r="A188" s="6"/>
      <c r="B188" s="7"/>
      <c r="C188" s="4">
        <v>40868</v>
      </c>
      <c r="D188" s="1" t="s">
        <v>208</v>
      </c>
      <c r="E188" s="1" t="s">
        <v>358</v>
      </c>
      <c r="F188" s="1" t="s">
        <v>358</v>
      </c>
      <c r="G188" s="1">
        <v>679.96</v>
      </c>
      <c r="H188" s="21">
        <v>56250</v>
      </c>
      <c r="I188" s="21" t="s">
        <v>13</v>
      </c>
      <c r="J188" s="1" t="s">
        <v>38</v>
      </c>
      <c r="K188" s="1" t="s">
        <v>34</v>
      </c>
      <c r="L188" s="1" t="s">
        <v>35</v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>
        <f ca="1">IF(Table1[[#This Row],[Inactive_Date]]="",DATEDIF(Table1[[#This Row],[Date_Acq]],TODAY(),"m"),DATEDIF(Table1[[#This Row],[Date_Acq]],Table1[[#This Row],[Inactive_Date]],"m"))</f>
        <v>60</v>
      </c>
    </row>
    <row r="189" spans="1:26" s="16" customFormat="1" hidden="1" x14ac:dyDescent="0.4">
      <c r="A189" s="6"/>
      <c r="B189" s="7"/>
      <c r="C189" s="4">
        <v>40868</v>
      </c>
      <c r="D189" s="1" t="s">
        <v>208</v>
      </c>
      <c r="E189" s="1" t="s">
        <v>359</v>
      </c>
      <c r="F189" s="1" t="s">
        <v>359</v>
      </c>
      <c r="G189" s="1">
        <v>799.99</v>
      </c>
      <c r="H189" s="21">
        <v>56250</v>
      </c>
      <c r="I189" s="21" t="s">
        <v>13</v>
      </c>
      <c r="J189" s="1" t="s">
        <v>38</v>
      </c>
      <c r="K189" s="1" t="s">
        <v>34</v>
      </c>
      <c r="L189" s="1" t="s">
        <v>35</v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>
        <f ca="1">IF(Table1[[#This Row],[Inactive_Date]]="",DATEDIF(Table1[[#This Row],[Date_Acq]],TODAY(),"m"),DATEDIF(Table1[[#This Row],[Date_Acq]],Table1[[#This Row],[Inactive_Date]],"m"))</f>
        <v>60</v>
      </c>
    </row>
    <row r="190" spans="1:26" s="16" customFormat="1" hidden="1" x14ac:dyDescent="0.4">
      <c r="A190" s="6"/>
      <c r="B190" s="7"/>
      <c r="C190" s="4">
        <v>40868</v>
      </c>
      <c r="D190" s="1" t="s">
        <v>208</v>
      </c>
      <c r="E190" s="1" t="s">
        <v>359</v>
      </c>
      <c r="F190" s="1" t="s">
        <v>359</v>
      </c>
      <c r="G190" s="1">
        <v>799.99</v>
      </c>
      <c r="H190" s="21">
        <v>56250</v>
      </c>
      <c r="I190" s="21" t="s">
        <v>13</v>
      </c>
      <c r="J190" s="1" t="s">
        <v>38</v>
      </c>
      <c r="K190" s="1" t="s">
        <v>34</v>
      </c>
      <c r="L190" s="1" t="s">
        <v>35</v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>
        <f ca="1">IF(Table1[[#This Row],[Inactive_Date]]="",DATEDIF(Table1[[#This Row],[Date_Acq]],TODAY(),"m"),DATEDIF(Table1[[#This Row],[Date_Acq]],Table1[[#This Row],[Inactive_Date]],"m"))</f>
        <v>60</v>
      </c>
    </row>
    <row r="191" spans="1:26" s="16" customFormat="1" hidden="1" x14ac:dyDescent="0.4">
      <c r="A191" s="6"/>
      <c r="B191" s="7"/>
      <c r="C191" s="4">
        <v>40868</v>
      </c>
      <c r="D191" s="1" t="s">
        <v>208</v>
      </c>
      <c r="E191" s="1" t="s">
        <v>359</v>
      </c>
      <c r="F191" s="1" t="s">
        <v>359</v>
      </c>
      <c r="G191" s="1">
        <v>799.99</v>
      </c>
      <c r="H191" s="21">
        <v>56250</v>
      </c>
      <c r="I191" s="21" t="s">
        <v>13</v>
      </c>
      <c r="J191" s="1" t="s">
        <v>38</v>
      </c>
      <c r="K191" s="1" t="s">
        <v>34</v>
      </c>
      <c r="L191" s="1" t="s">
        <v>35</v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>
        <f ca="1">IF(Table1[[#This Row],[Inactive_Date]]="",DATEDIF(Table1[[#This Row],[Date_Acq]],TODAY(),"m"),DATEDIF(Table1[[#This Row],[Date_Acq]],Table1[[#This Row],[Inactive_Date]],"m"))</f>
        <v>60</v>
      </c>
    </row>
    <row r="192" spans="1:26" s="16" customFormat="1" hidden="1" x14ac:dyDescent="0.4">
      <c r="A192" s="6"/>
      <c r="B192" s="7"/>
      <c r="C192" s="4">
        <v>40868</v>
      </c>
      <c r="D192" s="1" t="s">
        <v>208</v>
      </c>
      <c r="E192" s="1" t="s">
        <v>359</v>
      </c>
      <c r="F192" s="1" t="s">
        <v>359</v>
      </c>
      <c r="G192" s="1">
        <v>799.99</v>
      </c>
      <c r="H192" s="21">
        <v>56250</v>
      </c>
      <c r="I192" s="21" t="s">
        <v>13</v>
      </c>
      <c r="J192" s="1" t="s">
        <v>38</v>
      </c>
      <c r="K192" s="1" t="s">
        <v>34</v>
      </c>
      <c r="L192" s="1" t="s">
        <v>35</v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>
        <f ca="1">IF(Table1[[#This Row],[Inactive_Date]]="",DATEDIF(Table1[[#This Row],[Date_Acq]],TODAY(),"m"),DATEDIF(Table1[[#This Row],[Date_Acq]],Table1[[#This Row],[Inactive_Date]],"m"))</f>
        <v>60</v>
      </c>
    </row>
    <row r="193" spans="1:26" s="17" customFormat="1" x14ac:dyDescent="0.4">
      <c r="A193" s="6"/>
      <c r="B193" s="7"/>
      <c r="C193" s="4">
        <v>40879</v>
      </c>
      <c r="D193" s="2" t="s">
        <v>360</v>
      </c>
      <c r="E193" s="2" t="s">
        <v>361</v>
      </c>
      <c r="F193" s="2" t="s">
        <v>361</v>
      </c>
      <c r="G193" s="2">
        <v>2391</v>
      </c>
      <c r="H193" s="21">
        <v>57520</v>
      </c>
      <c r="I193" s="21" t="s">
        <v>13</v>
      </c>
      <c r="J193" s="2" t="s">
        <v>46</v>
      </c>
      <c r="K193" s="2" t="s">
        <v>39</v>
      </c>
      <c r="L193" s="2" t="s">
        <v>35</v>
      </c>
      <c r="M193" s="2"/>
      <c r="N193" s="2"/>
      <c r="O193" s="2"/>
      <c r="P193" s="2"/>
      <c r="Q193" s="2"/>
      <c r="R193" s="1"/>
      <c r="S193" s="2"/>
      <c r="T193" s="1"/>
      <c r="U193" s="1"/>
      <c r="V193" s="2"/>
      <c r="W193" s="2"/>
      <c r="X193" s="2"/>
      <c r="Y193" s="2"/>
      <c r="Z193" s="1">
        <f ca="1">IF(Table1[[#This Row],[Inactive_Date]]="",DATEDIF(Table1[[#This Row],[Date_Acq]],TODAY(),"m"),DATEDIF(Table1[[#This Row],[Date_Acq]],Table1[[#This Row],[Inactive_Date]],"m"))</f>
        <v>59</v>
      </c>
    </row>
    <row r="194" spans="1:26" s="16" customFormat="1" hidden="1" x14ac:dyDescent="0.4">
      <c r="A194" s="6"/>
      <c r="B194" s="7"/>
      <c r="C194" s="4">
        <v>40900</v>
      </c>
      <c r="D194" s="1" t="s">
        <v>336</v>
      </c>
      <c r="E194" s="1" t="s">
        <v>362</v>
      </c>
      <c r="F194" s="1" t="s">
        <v>362</v>
      </c>
      <c r="G194" s="1">
        <v>784.07</v>
      </c>
      <c r="H194" s="21">
        <v>57610</v>
      </c>
      <c r="I194" s="21" t="s">
        <v>13</v>
      </c>
      <c r="J194" s="1" t="s">
        <v>65</v>
      </c>
      <c r="K194" s="1" t="s">
        <v>34</v>
      </c>
      <c r="L194" s="1" t="s">
        <v>35</v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>
        <f ca="1">IF(Table1[[#This Row],[Inactive_Date]]="",DATEDIF(Table1[[#This Row],[Date_Acq]],TODAY(),"m"),DATEDIF(Table1[[#This Row],[Date_Acq]],Table1[[#This Row],[Inactive_Date]],"m"))</f>
        <v>58</v>
      </c>
    </row>
    <row r="195" spans="1:26" s="16" customFormat="1" hidden="1" x14ac:dyDescent="0.4">
      <c r="A195" s="6"/>
      <c r="B195" s="7"/>
      <c r="C195" s="4">
        <v>41030</v>
      </c>
      <c r="D195" s="1" t="s">
        <v>177</v>
      </c>
      <c r="E195" s="1" t="s">
        <v>363</v>
      </c>
      <c r="F195" s="1" t="s">
        <v>364</v>
      </c>
      <c r="G195" s="1">
        <v>599</v>
      </c>
      <c r="H195" s="21">
        <v>57690</v>
      </c>
      <c r="I195" s="21" t="s">
        <v>13</v>
      </c>
      <c r="J195" s="1" t="s">
        <v>65</v>
      </c>
      <c r="K195" s="1" t="s">
        <v>34</v>
      </c>
      <c r="L195" s="1" t="s">
        <v>35</v>
      </c>
      <c r="M195" s="1"/>
      <c r="N195" s="1" t="s">
        <v>365</v>
      </c>
      <c r="O195" s="1" t="s">
        <v>366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>
        <f ca="1">IF(Table1[[#This Row],[Inactive_Date]]="",DATEDIF(Table1[[#This Row],[Date_Acq]],TODAY(),"m"),DATEDIF(Table1[[#This Row],[Date_Acq]],Table1[[#This Row],[Inactive_Date]],"m"))</f>
        <v>54</v>
      </c>
    </row>
    <row r="196" spans="1:26" s="16" customFormat="1" x14ac:dyDescent="0.4">
      <c r="A196" s="6"/>
      <c r="B196" s="7"/>
      <c r="C196" s="4">
        <v>41032</v>
      </c>
      <c r="D196" s="1" t="s">
        <v>336</v>
      </c>
      <c r="E196" s="1" t="s">
        <v>367</v>
      </c>
      <c r="F196" s="1" t="s">
        <v>368</v>
      </c>
      <c r="G196" s="1">
        <v>2879.1</v>
      </c>
      <c r="H196" s="21">
        <v>57840</v>
      </c>
      <c r="I196" s="21" t="s">
        <v>13</v>
      </c>
      <c r="J196" s="1" t="s">
        <v>73</v>
      </c>
      <c r="K196" s="1" t="s">
        <v>39</v>
      </c>
      <c r="L196" s="1" t="s">
        <v>35</v>
      </c>
      <c r="M196" s="1"/>
      <c r="N196" s="1" t="s">
        <v>369</v>
      </c>
      <c r="O196" s="1" t="s">
        <v>370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>
        <f ca="1">IF(Table1[[#This Row],[Inactive_Date]]="",DATEDIF(Table1[[#This Row],[Date_Acq]],TODAY(),"m"),DATEDIF(Table1[[#This Row],[Date_Acq]],Table1[[#This Row],[Inactive_Date]],"m"))</f>
        <v>54</v>
      </c>
    </row>
    <row r="197" spans="1:26" s="16" customFormat="1" x14ac:dyDescent="0.4">
      <c r="A197" s="6"/>
      <c r="B197" s="7"/>
      <c r="C197" s="4">
        <v>41147</v>
      </c>
      <c r="D197" s="1" t="s">
        <v>125</v>
      </c>
      <c r="E197" s="1" t="s">
        <v>371</v>
      </c>
      <c r="F197" s="1" t="s">
        <v>372</v>
      </c>
      <c r="G197" s="1">
        <v>2880.5</v>
      </c>
      <c r="H197" s="21">
        <v>55500</v>
      </c>
      <c r="I197" s="21" t="s">
        <v>13</v>
      </c>
      <c r="J197" s="1" t="s">
        <v>73</v>
      </c>
      <c r="K197" s="1" t="s">
        <v>74</v>
      </c>
      <c r="L197" s="1" t="s">
        <v>35</v>
      </c>
      <c r="M197" s="1"/>
      <c r="N197" s="1" t="s">
        <v>373</v>
      </c>
      <c r="O197" s="1"/>
      <c r="P197" s="1" t="s">
        <v>374</v>
      </c>
      <c r="Q197" s="1"/>
      <c r="R197" s="1"/>
      <c r="S197" s="1"/>
      <c r="T197" s="1"/>
      <c r="U197" s="1"/>
      <c r="V197" s="1"/>
      <c r="W197" s="1"/>
      <c r="X197" s="1"/>
      <c r="Y197" s="1"/>
      <c r="Z197" s="1">
        <f ca="1">IF(Table1[[#This Row],[Inactive_Date]]="",DATEDIF(Table1[[#This Row],[Date_Acq]],TODAY(),"m"),DATEDIF(Table1[[#This Row],[Date_Acq]],Table1[[#This Row],[Inactive_Date]],"m"))</f>
        <v>50</v>
      </c>
    </row>
    <row r="198" spans="1:26" s="16" customFormat="1" hidden="1" x14ac:dyDescent="0.4">
      <c r="A198" s="6"/>
      <c r="B198" s="7"/>
      <c r="C198" s="4">
        <v>41149</v>
      </c>
      <c r="D198" s="1" t="s">
        <v>375</v>
      </c>
      <c r="E198" s="1" t="s">
        <v>376</v>
      </c>
      <c r="F198" s="1" t="s">
        <v>376</v>
      </c>
      <c r="G198" s="1">
        <v>949</v>
      </c>
      <c r="H198" s="21">
        <v>55500</v>
      </c>
      <c r="I198" s="21" t="s">
        <v>13</v>
      </c>
      <c r="J198" s="1" t="s">
        <v>73</v>
      </c>
      <c r="K198" s="1" t="s">
        <v>34</v>
      </c>
      <c r="L198" s="1" t="s">
        <v>35</v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>
        <f ca="1">IF(Table1[[#This Row],[Inactive_Date]]="",DATEDIF(Table1[[#This Row],[Date_Acq]],TODAY(),"m"),DATEDIF(Table1[[#This Row],[Date_Acq]],Table1[[#This Row],[Inactive_Date]],"m"))</f>
        <v>50</v>
      </c>
    </row>
    <row r="199" spans="1:26" s="16" customFormat="1" hidden="1" x14ac:dyDescent="0.4">
      <c r="A199" s="6"/>
      <c r="B199" s="7"/>
      <c r="C199" s="4">
        <v>41153</v>
      </c>
      <c r="D199" s="1" t="s">
        <v>248</v>
      </c>
      <c r="E199" s="1" t="s">
        <v>377</v>
      </c>
      <c r="F199" s="1" t="s">
        <v>377</v>
      </c>
      <c r="G199" s="1">
        <v>389</v>
      </c>
      <c r="H199" s="21">
        <v>58650</v>
      </c>
      <c r="I199" s="21" t="s">
        <v>13</v>
      </c>
      <c r="J199" s="1"/>
      <c r="K199" s="1" t="s">
        <v>34</v>
      </c>
      <c r="L199" s="1" t="s">
        <v>51</v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>
        <f ca="1">IF(Table1[[#This Row],[Inactive_Date]]="",DATEDIF(Table1[[#This Row],[Date_Acq]],TODAY(),"m"),DATEDIF(Table1[[#This Row],[Date_Acq]],Table1[[#This Row],[Inactive_Date]],"m"))</f>
        <v>50</v>
      </c>
    </row>
    <row r="200" spans="1:26" s="16" customFormat="1" x14ac:dyDescent="0.4">
      <c r="A200" s="6"/>
      <c r="B200" s="7"/>
      <c r="C200" s="4">
        <v>41198</v>
      </c>
      <c r="D200" s="1" t="s">
        <v>113</v>
      </c>
      <c r="E200" s="1" t="s">
        <v>378</v>
      </c>
      <c r="F200" s="1" t="s">
        <v>378</v>
      </c>
      <c r="G200" s="1">
        <v>2250</v>
      </c>
      <c r="H200" s="21">
        <v>58660</v>
      </c>
      <c r="I200" s="21" t="s">
        <v>13</v>
      </c>
      <c r="J200" s="1"/>
      <c r="K200" s="1" t="s">
        <v>39</v>
      </c>
      <c r="L200" s="1" t="s">
        <v>51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>
        <f ca="1">IF(Table1[[#This Row],[Inactive_Date]]="",DATEDIF(Table1[[#This Row],[Date_Acq]],TODAY(),"m"),DATEDIF(Table1[[#This Row],[Date_Acq]],Table1[[#This Row],[Inactive_Date]],"m"))</f>
        <v>49</v>
      </c>
    </row>
    <row r="201" spans="1:26" s="16" customFormat="1" hidden="1" x14ac:dyDescent="0.4">
      <c r="A201" s="6"/>
      <c r="B201" s="7"/>
      <c r="C201" s="4">
        <v>41206</v>
      </c>
      <c r="D201" s="1" t="s">
        <v>379</v>
      </c>
      <c r="E201" s="1" t="s">
        <v>380</v>
      </c>
      <c r="F201" s="1" t="s">
        <v>380</v>
      </c>
      <c r="G201" s="1">
        <v>520</v>
      </c>
      <c r="H201" s="21">
        <v>56200</v>
      </c>
      <c r="I201" s="21" t="s">
        <v>13</v>
      </c>
      <c r="J201" s="1" t="s">
        <v>38</v>
      </c>
      <c r="K201" s="1" t="s">
        <v>34</v>
      </c>
      <c r="L201" s="1" t="s">
        <v>35</v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>
        <f ca="1">IF(Table1[[#This Row],[Inactive_Date]]="",DATEDIF(Table1[[#This Row],[Date_Acq]],TODAY(),"m"),DATEDIF(Table1[[#This Row],[Date_Acq]],Table1[[#This Row],[Inactive_Date]],"m"))</f>
        <v>48</v>
      </c>
    </row>
    <row r="202" spans="1:26" s="16" customFormat="1" hidden="1" x14ac:dyDescent="0.4">
      <c r="A202" s="6"/>
      <c r="B202" s="7"/>
      <c r="C202" s="4">
        <v>41208</v>
      </c>
      <c r="D202" s="1" t="s">
        <v>102</v>
      </c>
      <c r="E202" s="1" t="s">
        <v>381</v>
      </c>
      <c r="F202" s="1" t="s">
        <v>382</v>
      </c>
      <c r="G202" s="1">
        <v>259.98</v>
      </c>
      <c r="H202" s="21">
        <v>56150</v>
      </c>
      <c r="I202" s="21" t="s">
        <v>13</v>
      </c>
      <c r="J202" s="1" t="s">
        <v>38</v>
      </c>
      <c r="K202" s="1" t="s">
        <v>34</v>
      </c>
      <c r="L202" s="1" t="s">
        <v>35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>
        <f ca="1">IF(Table1[[#This Row],[Inactive_Date]]="",DATEDIF(Table1[[#This Row],[Date_Acq]],TODAY(),"m"),DATEDIF(Table1[[#This Row],[Date_Acq]],Table1[[#This Row],[Inactive_Date]],"m"))</f>
        <v>48</v>
      </c>
    </row>
    <row r="203" spans="1:26" s="16" customFormat="1" hidden="1" x14ac:dyDescent="0.4">
      <c r="A203" s="6"/>
      <c r="B203" s="7"/>
      <c r="C203" s="4">
        <v>41208</v>
      </c>
      <c r="D203" s="1" t="s">
        <v>383</v>
      </c>
      <c r="E203" s="1" t="s">
        <v>384</v>
      </c>
      <c r="F203" s="1" t="s">
        <v>384</v>
      </c>
      <c r="G203" s="1">
        <v>349</v>
      </c>
      <c r="H203" s="21">
        <v>56250</v>
      </c>
      <c r="I203" s="21" t="s">
        <v>13</v>
      </c>
      <c r="J203" s="1" t="s">
        <v>38</v>
      </c>
      <c r="K203" s="1" t="s">
        <v>34</v>
      </c>
      <c r="L203" s="1" t="s">
        <v>35</v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>
        <f ca="1">IF(Table1[[#This Row],[Inactive_Date]]="",DATEDIF(Table1[[#This Row],[Date_Acq]],TODAY(),"m"),DATEDIF(Table1[[#This Row],[Date_Acq]],Table1[[#This Row],[Inactive_Date]],"m"))</f>
        <v>48</v>
      </c>
    </row>
    <row r="204" spans="1:26" s="16" customFormat="1" x14ac:dyDescent="0.4">
      <c r="A204" s="6"/>
      <c r="B204" s="7"/>
      <c r="C204" s="4">
        <v>41211</v>
      </c>
      <c r="D204" s="1" t="s">
        <v>349</v>
      </c>
      <c r="E204" s="1" t="s">
        <v>385</v>
      </c>
      <c r="F204" s="1" t="s">
        <v>385</v>
      </c>
      <c r="G204" s="1">
        <v>4699</v>
      </c>
      <c r="H204" s="21">
        <v>56300</v>
      </c>
      <c r="I204" s="21" t="s">
        <v>13</v>
      </c>
      <c r="J204" s="1" t="s">
        <v>38</v>
      </c>
      <c r="K204" s="1" t="s">
        <v>39</v>
      </c>
      <c r="L204" s="1" t="s">
        <v>35</v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>
        <f ca="1">IF(Table1[[#This Row],[Inactive_Date]]="",DATEDIF(Table1[[#This Row],[Date_Acq]],TODAY(),"m"),DATEDIF(Table1[[#This Row],[Date_Acq]],Table1[[#This Row],[Inactive_Date]],"m"))</f>
        <v>48</v>
      </c>
    </row>
    <row r="205" spans="1:26" s="16" customFormat="1" x14ac:dyDescent="0.4">
      <c r="A205" s="6"/>
      <c r="B205" s="7"/>
      <c r="C205" s="4">
        <v>41211</v>
      </c>
      <c r="D205" s="1" t="s">
        <v>349</v>
      </c>
      <c r="E205" s="1" t="s">
        <v>386</v>
      </c>
      <c r="F205" s="1" t="s">
        <v>386</v>
      </c>
      <c r="G205" s="1">
        <v>1320</v>
      </c>
      <c r="H205" s="21">
        <v>56300</v>
      </c>
      <c r="I205" s="21" t="s">
        <v>13</v>
      </c>
      <c r="J205" s="1" t="s">
        <v>38</v>
      </c>
      <c r="K205" s="1" t="s">
        <v>39</v>
      </c>
      <c r="L205" s="1" t="s">
        <v>35</v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>
        <f ca="1">IF(Table1[[#This Row],[Inactive_Date]]="",DATEDIF(Table1[[#This Row],[Date_Acq]],TODAY(),"m"),DATEDIF(Table1[[#This Row],[Date_Acq]],Table1[[#This Row],[Inactive_Date]],"m"))</f>
        <v>48</v>
      </c>
    </row>
    <row r="206" spans="1:26" s="16" customFormat="1" x14ac:dyDescent="0.4">
      <c r="A206" s="6"/>
      <c r="B206" s="7"/>
      <c r="C206" s="4">
        <v>41211</v>
      </c>
      <c r="D206" s="1" t="s">
        <v>349</v>
      </c>
      <c r="E206" s="1" t="s">
        <v>387</v>
      </c>
      <c r="F206" s="1" t="s">
        <v>387</v>
      </c>
      <c r="G206" s="1">
        <v>3710</v>
      </c>
      <c r="H206" s="21">
        <v>56300</v>
      </c>
      <c r="I206" s="21" t="s">
        <v>13</v>
      </c>
      <c r="J206" s="1" t="s">
        <v>38</v>
      </c>
      <c r="K206" s="1" t="s">
        <v>39</v>
      </c>
      <c r="L206" s="1" t="s">
        <v>35</v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>
        <f ca="1">IF(Table1[[#This Row],[Inactive_Date]]="",DATEDIF(Table1[[#This Row],[Date_Acq]],TODAY(),"m"),DATEDIF(Table1[[#This Row],[Date_Acq]],Table1[[#This Row],[Inactive_Date]],"m"))</f>
        <v>48</v>
      </c>
    </row>
    <row r="207" spans="1:26" s="16" customFormat="1" x14ac:dyDescent="0.4">
      <c r="A207" s="6"/>
      <c r="B207" s="7"/>
      <c r="C207" s="4">
        <v>41211</v>
      </c>
      <c r="D207" s="1" t="s">
        <v>349</v>
      </c>
      <c r="E207" s="1" t="s">
        <v>388</v>
      </c>
      <c r="F207" s="1" t="s">
        <v>388</v>
      </c>
      <c r="G207" s="1">
        <v>1239</v>
      </c>
      <c r="H207" s="21">
        <v>56300</v>
      </c>
      <c r="I207" s="21" t="s">
        <v>13</v>
      </c>
      <c r="J207" s="1" t="s">
        <v>38</v>
      </c>
      <c r="K207" s="1" t="s">
        <v>39</v>
      </c>
      <c r="L207" s="1" t="s">
        <v>35</v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>
        <f ca="1">IF(Table1[[#This Row],[Inactive_Date]]="",DATEDIF(Table1[[#This Row],[Date_Acq]],TODAY(),"m"),DATEDIF(Table1[[#This Row],[Date_Acq]],Table1[[#This Row],[Inactive_Date]],"m"))</f>
        <v>48</v>
      </c>
    </row>
    <row r="208" spans="1:26" s="16" customFormat="1" x14ac:dyDescent="0.4">
      <c r="A208" s="6"/>
      <c r="B208" s="7"/>
      <c r="C208" s="4">
        <v>41211</v>
      </c>
      <c r="D208" s="1" t="s">
        <v>349</v>
      </c>
      <c r="E208" s="1" t="s">
        <v>388</v>
      </c>
      <c r="F208" s="1" t="s">
        <v>388</v>
      </c>
      <c r="G208" s="1">
        <v>1239</v>
      </c>
      <c r="H208" s="21">
        <v>56300</v>
      </c>
      <c r="I208" s="21" t="s">
        <v>13</v>
      </c>
      <c r="J208" s="1" t="s">
        <v>38</v>
      </c>
      <c r="K208" s="1" t="s">
        <v>39</v>
      </c>
      <c r="L208" s="1" t="s">
        <v>35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>
        <f ca="1">IF(Table1[[#This Row],[Inactive_Date]]="",DATEDIF(Table1[[#This Row],[Date_Acq]],TODAY(),"m"),DATEDIF(Table1[[#This Row],[Date_Acq]],Table1[[#This Row],[Inactive_Date]],"m"))</f>
        <v>48</v>
      </c>
    </row>
    <row r="209" spans="1:26" s="16" customFormat="1" hidden="1" x14ac:dyDescent="0.4">
      <c r="A209" s="6"/>
      <c r="B209" s="7"/>
      <c r="C209" s="4">
        <v>41212</v>
      </c>
      <c r="D209" s="1" t="s">
        <v>295</v>
      </c>
      <c r="E209" s="1" t="s">
        <v>389</v>
      </c>
      <c r="F209" s="1" t="s">
        <v>389</v>
      </c>
      <c r="G209" s="1">
        <v>470.25</v>
      </c>
      <c r="H209" s="21">
        <v>58650</v>
      </c>
      <c r="I209" s="21" t="s">
        <v>13</v>
      </c>
      <c r="J209" s="1" t="s">
        <v>38</v>
      </c>
      <c r="K209" s="1" t="s">
        <v>34</v>
      </c>
      <c r="L209" s="1" t="s">
        <v>35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>
        <f ca="1">IF(Table1[[#This Row],[Inactive_Date]]="",DATEDIF(Table1[[#This Row],[Date_Acq]],TODAY(),"m"),DATEDIF(Table1[[#This Row],[Date_Acq]],Table1[[#This Row],[Inactive_Date]],"m"))</f>
        <v>48</v>
      </c>
    </row>
    <row r="210" spans="1:26" s="16" customFormat="1" hidden="1" x14ac:dyDescent="0.4">
      <c r="A210" s="6"/>
      <c r="B210" s="7"/>
      <c r="C210" s="4">
        <v>41240</v>
      </c>
      <c r="D210" s="1" t="s">
        <v>241</v>
      </c>
      <c r="E210" s="1" t="s">
        <v>390</v>
      </c>
      <c r="F210" s="1" t="s">
        <v>390</v>
      </c>
      <c r="G210" s="1">
        <v>663.2</v>
      </c>
      <c r="H210" s="21">
        <v>58540</v>
      </c>
      <c r="I210" s="21" t="s">
        <v>13</v>
      </c>
      <c r="J210" s="1"/>
      <c r="K210" s="1" t="s">
        <v>34</v>
      </c>
      <c r="L210" s="1" t="s">
        <v>51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>
        <f ca="1">IF(Table1[[#This Row],[Inactive_Date]]="",DATEDIF(Table1[[#This Row],[Date_Acq]],TODAY(),"m"),DATEDIF(Table1[[#This Row],[Date_Acq]],Table1[[#This Row],[Inactive_Date]],"m"))</f>
        <v>47</v>
      </c>
    </row>
    <row r="211" spans="1:26" s="16" customFormat="1" hidden="1" x14ac:dyDescent="0.4">
      <c r="A211" s="6"/>
      <c r="B211" s="7"/>
      <c r="C211" s="4">
        <v>41240</v>
      </c>
      <c r="D211" s="1" t="s">
        <v>241</v>
      </c>
      <c r="E211" s="1" t="s">
        <v>391</v>
      </c>
      <c r="F211" s="1" t="s">
        <v>391</v>
      </c>
      <c r="G211" s="1">
        <v>355</v>
      </c>
      <c r="H211" s="21">
        <v>58540</v>
      </c>
      <c r="I211" s="21" t="s">
        <v>13</v>
      </c>
      <c r="J211" s="1"/>
      <c r="K211" s="1" t="s">
        <v>34</v>
      </c>
      <c r="L211" s="1" t="s">
        <v>51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>
        <f ca="1">IF(Table1[[#This Row],[Inactive_Date]]="",DATEDIF(Table1[[#This Row],[Date_Acq]],TODAY(),"m"),DATEDIF(Table1[[#This Row],[Date_Acq]],Table1[[#This Row],[Inactive_Date]],"m"))</f>
        <v>47</v>
      </c>
    </row>
    <row r="212" spans="1:26" s="16" customFormat="1" x14ac:dyDescent="0.4">
      <c r="A212" s="6"/>
      <c r="B212" s="7"/>
      <c r="C212" s="4">
        <v>41275</v>
      </c>
      <c r="D212" s="1" t="s">
        <v>349</v>
      </c>
      <c r="E212" s="1" t="s">
        <v>392</v>
      </c>
      <c r="F212" s="1" t="s">
        <v>392</v>
      </c>
      <c r="G212" s="1">
        <v>4670</v>
      </c>
      <c r="H212" s="21">
        <v>56250</v>
      </c>
      <c r="I212" s="21" t="s">
        <v>13</v>
      </c>
      <c r="J212" s="1" t="s">
        <v>38</v>
      </c>
      <c r="K212" s="1" t="s">
        <v>39</v>
      </c>
      <c r="L212" s="1" t="s">
        <v>35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>
        <f ca="1">IF(Table1[[#This Row],[Inactive_Date]]="",DATEDIF(Table1[[#This Row],[Date_Acq]],TODAY(),"m"),DATEDIF(Table1[[#This Row],[Date_Acq]],Table1[[#This Row],[Inactive_Date]],"m"))</f>
        <v>46</v>
      </c>
    </row>
    <row r="213" spans="1:26" s="16" customFormat="1" x14ac:dyDescent="0.4">
      <c r="A213" s="6"/>
      <c r="B213" s="7"/>
      <c r="C213" s="4">
        <v>41284</v>
      </c>
      <c r="D213" s="1" t="s">
        <v>393</v>
      </c>
      <c r="E213" s="1" t="s">
        <v>394</v>
      </c>
      <c r="F213" s="1" t="s">
        <v>394</v>
      </c>
      <c r="G213" s="1">
        <v>18000</v>
      </c>
      <c r="H213" s="21">
        <v>57850</v>
      </c>
      <c r="I213" s="21" t="s">
        <v>13</v>
      </c>
      <c r="J213" s="1" t="s">
        <v>73</v>
      </c>
      <c r="K213" s="1" t="s">
        <v>74</v>
      </c>
      <c r="L213" s="1" t="s">
        <v>35</v>
      </c>
      <c r="M213" s="1"/>
      <c r="N213" s="1" t="s">
        <v>75</v>
      </c>
      <c r="O213" s="1" t="s">
        <v>395</v>
      </c>
      <c r="P213" s="1" t="s">
        <v>396</v>
      </c>
      <c r="Q213" s="1"/>
      <c r="R213" s="1"/>
      <c r="S213" s="1"/>
      <c r="T213" s="1"/>
      <c r="U213" s="1"/>
      <c r="V213" s="1"/>
      <c r="W213" s="1"/>
      <c r="X213" s="1"/>
      <c r="Y213" s="1"/>
      <c r="Z213" s="1">
        <f ca="1">IF(Table1[[#This Row],[Inactive_Date]]="",DATEDIF(Table1[[#This Row],[Date_Acq]],TODAY(),"m"),DATEDIF(Table1[[#This Row],[Date_Acq]],Table1[[#This Row],[Inactive_Date]],"m"))</f>
        <v>46</v>
      </c>
    </row>
    <row r="214" spans="1:26" s="16" customFormat="1" hidden="1" x14ac:dyDescent="0.4">
      <c r="A214" s="6"/>
      <c r="B214" s="7"/>
      <c r="C214" s="4">
        <v>41308</v>
      </c>
      <c r="D214" s="1" t="s">
        <v>397</v>
      </c>
      <c r="E214" s="1" t="s">
        <v>398</v>
      </c>
      <c r="F214" s="1" t="s">
        <v>398</v>
      </c>
      <c r="G214" s="1">
        <v>878</v>
      </c>
      <c r="H214" s="21">
        <v>54250</v>
      </c>
      <c r="I214" s="21" t="s">
        <v>13</v>
      </c>
      <c r="J214" s="1" t="s">
        <v>33</v>
      </c>
      <c r="K214" s="1" t="s">
        <v>34</v>
      </c>
      <c r="L214" s="1" t="s">
        <v>35</v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>
        <f ca="1">IF(Table1[[#This Row],[Inactive_Date]]="",DATEDIF(Table1[[#This Row],[Date_Acq]],TODAY(),"m"),DATEDIF(Table1[[#This Row],[Date_Acq]],Table1[[#This Row],[Inactive_Date]],"m"))</f>
        <v>45</v>
      </c>
    </row>
    <row r="215" spans="1:26" s="16" customFormat="1" hidden="1" x14ac:dyDescent="0.4">
      <c r="A215" s="6"/>
      <c r="B215" s="7"/>
      <c r="C215" s="4">
        <v>41362</v>
      </c>
      <c r="D215" s="1" t="s">
        <v>154</v>
      </c>
      <c r="E215" s="1" t="s">
        <v>399</v>
      </c>
      <c r="F215" s="1" t="s">
        <v>399</v>
      </c>
      <c r="G215" s="1">
        <v>872</v>
      </c>
      <c r="H215" s="21">
        <v>57610</v>
      </c>
      <c r="I215" s="21" t="s">
        <v>13</v>
      </c>
      <c r="J215" s="1" t="s">
        <v>303</v>
      </c>
      <c r="K215" s="1" t="s">
        <v>34</v>
      </c>
      <c r="L215" s="1" t="s">
        <v>35</v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>
        <f ca="1">IF(Table1[[#This Row],[Inactive_Date]]="",DATEDIF(Table1[[#This Row],[Date_Acq]],TODAY(),"m"),DATEDIF(Table1[[#This Row],[Date_Acq]],Table1[[#This Row],[Inactive_Date]],"m"))</f>
        <v>43</v>
      </c>
    </row>
    <row r="216" spans="1:26" s="16" customFormat="1" x14ac:dyDescent="0.4">
      <c r="A216" s="6"/>
      <c r="B216" s="7"/>
      <c r="C216" s="4">
        <v>41380</v>
      </c>
      <c r="D216" s="1" t="s">
        <v>400</v>
      </c>
      <c r="E216" s="1" t="s">
        <v>401</v>
      </c>
      <c r="F216" s="1" t="s">
        <v>402</v>
      </c>
      <c r="G216" s="1">
        <v>7000</v>
      </c>
      <c r="H216" s="21">
        <v>58050</v>
      </c>
      <c r="I216" s="21" t="s">
        <v>13</v>
      </c>
      <c r="J216" s="1" t="s">
        <v>223</v>
      </c>
      <c r="K216" s="1" t="s">
        <v>39</v>
      </c>
      <c r="L216" s="1" t="s">
        <v>35</v>
      </c>
      <c r="M216" s="1"/>
      <c r="N216" s="1" t="s">
        <v>403</v>
      </c>
      <c r="O216" s="1" t="s">
        <v>404</v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>
        <f ca="1">IF(Table1[[#This Row],[Inactive_Date]]="",DATEDIF(Table1[[#This Row],[Date_Acq]],TODAY(),"m"),DATEDIF(Table1[[#This Row],[Date_Acq]],Table1[[#This Row],[Inactive_Date]],"m"))</f>
        <v>43</v>
      </c>
    </row>
    <row r="217" spans="1:26" s="17" customFormat="1" x14ac:dyDescent="0.4">
      <c r="A217" s="6"/>
      <c r="B217" s="7"/>
      <c r="C217" s="4">
        <v>41388</v>
      </c>
      <c r="D217" s="2" t="s">
        <v>405</v>
      </c>
      <c r="E217" s="2" t="s">
        <v>406</v>
      </c>
      <c r="F217" s="2" t="s">
        <v>407</v>
      </c>
      <c r="G217" s="2">
        <v>1477</v>
      </c>
      <c r="H217" s="21">
        <v>57520</v>
      </c>
      <c r="I217" s="21" t="s">
        <v>13</v>
      </c>
      <c r="J217" s="2" t="s">
        <v>46</v>
      </c>
      <c r="K217" s="2" t="s">
        <v>39</v>
      </c>
      <c r="L217" s="2" t="s">
        <v>35</v>
      </c>
      <c r="M217" s="2"/>
      <c r="N217" s="2" t="s">
        <v>306</v>
      </c>
      <c r="O217" s="2" t="s">
        <v>408</v>
      </c>
      <c r="P217" s="2" t="s">
        <v>409</v>
      </c>
      <c r="Q217" s="2" t="s">
        <v>110</v>
      </c>
      <c r="R217" s="1">
        <v>1</v>
      </c>
      <c r="S217" s="2"/>
      <c r="T217" s="1" t="s">
        <v>410</v>
      </c>
      <c r="U217" s="1"/>
      <c r="V217" s="2"/>
      <c r="W217" s="2"/>
      <c r="X217" s="2"/>
      <c r="Y217" s="2"/>
      <c r="Z217" s="1">
        <f ca="1">IF(Table1[[#This Row],[Inactive_Date]]="",DATEDIF(Table1[[#This Row],[Date_Acq]],TODAY(),"m"),DATEDIF(Table1[[#This Row],[Date_Acq]],Table1[[#This Row],[Inactive_Date]],"m"))</f>
        <v>42</v>
      </c>
    </row>
    <row r="218" spans="1:26" s="16" customFormat="1" hidden="1" x14ac:dyDescent="0.4">
      <c r="A218" s="6"/>
      <c r="B218" s="7"/>
      <c r="C218" s="4">
        <v>41411</v>
      </c>
      <c r="D218" s="1" t="s">
        <v>411</v>
      </c>
      <c r="E218" s="1" t="s">
        <v>412</v>
      </c>
      <c r="F218" s="1" t="s">
        <v>412</v>
      </c>
      <c r="G218" s="1">
        <v>833</v>
      </c>
      <c r="H218" s="21">
        <v>55250</v>
      </c>
      <c r="I218" s="21" t="s">
        <v>13</v>
      </c>
      <c r="J218" s="1" t="s">
        <v>413</v>
      </c>
      <c r="K218" s="1" t="s">
        <v>34</v>
      </c>
      <c r="L218" s="1" t="s">
        <v>35</v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>
        <f ca="1">IF(Table1[[#This Row],[Inactive_Date]]="",DATEDIF(Table1[[#This Row],[Date_Acq]],TODAY(),"m"),DATEDIF(Table1[[#This Row],[Date_Acq]],Table1[[#This Row],[Inactive_Date]],"m"))</f>
        <v>42</v>
      </c>
    </row>
    <row r="219" spans="1:26" s="16" customFormat="1" x14ac:dyDescent="0.4">
      <c r="A219" s="6"/>
      <c r="B219" s="7"/>
      <c r="C219" s="4">
        <v>41414</v>
      </c>
      <c r="D219" s="1" t="s">
        <v>379</v>
      </c>
      <c r="E219" s="1" t="s">
        <v>414</v>
      </c>
      <c r="F219" s="1" t="s">
        <v>414</v>
      </c>
      <c r="G219" s="1">
        <v>2589.9899999999998</v>
      </c>
      <c r="H219" s="21">
        <v>56300</v>
      </c>
      <c r="I219" s="21" t="s">
        <v>13</v>
      </c>
      <c r="J219" s="1" t="s">
        <v>38</v>
      </c>
      <c r="K219" s="1" t="s">
        <v>39</v>
      </c>
      <c r="L219" s="1" t="s">
        <v>35</v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>
        <f ca="1">IF(Table1[[#This Row],[Inactive_Date]]="",DATEDIF(Table1[[#This Row],[Date_Acq]],TODAY(),"m"),DATEDIF(Table1[[#This Row],[Date_Acq]],Table1[[#This Row],[Inactive_Date]],"m"))</f>
        <v>42</v>
      </c>
    </row>
    <row r="220" spans="1:26" s="16" customFormat="1" x14ac:dyDescent="0.4">
      <c r="A220" s="6"/>
      <c r="B220" s="7"/>
      <c r="C220" s="4">
        <v>41414</v>
      </c>
      <c r="D220" s="1" t="s">
        <v>379</v>
      </c>
      <c r="E220" s="1" t="s">
        <v>414</v>
      </c>
      <c r="F220" s="1" t="s">
        <v>414</v>
      </c>
      <c r="G220" s="1">
        <v>2589.9899999999998</v>
      </c>
      <c r="H220" s="21">
        <v>56300</v>
      </c>
      <c r="I220" s="21" t="s">
        <v>13</v>
      </c>
      <c r="J220" s="1" t="s">
        <v>38</v>
      </c>
      <c r="K220" s="1" t="s">
        <v>39</v>
      </c>
      <c r="L220" s="1" t="s">
        <v>35</v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>
        <f ca="1">IF(Table1[[#This Row],[Inactive_Date]]="",DATEDIF(Table1[[#This Row],[Date_Acq]],TODAY(),"m"),DATEDIF(Table1[[#This Row],[Date_Acq]],Table1[[#This Row],[Inactive_Date]],"m"))</f>
        <v>42</v>
      </c>
    </row>
    <row r="221" spans="1:26" s="16" customFormat="1" x14ac:dyDescent="0.4">
      <c r="A221" s="6"/>
      <c r="B221" s="7"/>
      <c r="C221" s="4">
        <v>41414</v>
      </c>
      <c r="D221" s="1" t="s">
        <v>379</v>
      </c>
      <c r="E221" s="1" t="s">
        <v>414</v>
      </c>
      <c r="F221" s="1" t="s">
        <v>414</v>
      </c>
      <c r="G221" s="1">
        <v>2589.9899999999998</v>
      </c>
      <c r="H221" s="21">
        <v>56300</v>
      </c>
      <c r="I221" s="21" t="s">
        <v>13</v>
      </c>
      <c r="J221" s="1" t="s">
        <v>38</v>
      </c>
      <c r="K221" s="1" t="s">
        <v>39</v>
      </c>
      <c r="L221" s="1" t="s">
        <v>35</v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>
        <f ca="1">IF(Table1[[#This Row],[Inactive_Date]]="",DATEDIF(Table1[[#This Row],[Date_Acq]],TODAY(),"m"),DATEDIF(Table1[[#This Row],[Date_Acq]],Table1[[#This Row],[Inactive_Date]],"m"))</f>
        <v>42</v>
      </c>
    </row>
    <row r="222" spans="1:26" s="16" customFormat="1" x14ac:dyDescent="0.4">
      <c r="A222" s="6"/>
      <c r="B222" s="7"/>
      <c r="C222" s="4">
        <v>41414</v>
      </c>
      <c r="D222" s="1" t="s">
        <v>379</v>
      </c>
      <c r="E222" s="1" t="s">
        <v>414</v>
      </c>
      <c r="F222" s="1" t="s">
        <v>414</v>
      </c>
      <c r="G222" s="1">
        <v>2589.9899999999998</v>
      </c>
      <c r="H222" s="21">
        <v>56300</v>
      </c>
      <c r="I222" s="21" t="s">
        <v>13</v>
      </c>
      <c r="J222" s="1" t="s">
        <v>38</v>
      </c>
      <c r="K222" s="1" t="s">
        <v>39</v>
      </c>
      <c r="L222" s="1" t="s">
        <v>35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>
        <f ca="1">IF(Table1[[#This Row],[Inactive_Date]]="",DATEDIF(Table1[[#This Row],[Date_Acq]],TODAY(),"m"),DATEDIF(Table1[[#This Row],[Date_Acq]],Table1[[#This Row],[Inactive_Date]],"m"))</f>
        <v>42</v>
      </c>
    </row>
    <row r="223" spans="1:26" s="16" customFormat="1" x14ac:dyDescent="0.4">
      <c r="A223" s="6"/>
      <c r="B223" s="7"/>
      <c r="C223" s="4">
        <v>41414</v>
      </c>
      <c r="D223" s="1" t="s">
        <v>415</v>
      </c>
      <c r="E223" s="1" t="s">
        <v>416</v>
      </c>
      <c r="F223" s="1" t="s">
        <v>416</v>
      </c>
      <c r="G223" s="1">
        <v>2590</v>
      </c>
      <c r="H223" s="21">
        <v>56300</v>
      </c>
      <c r="I223" s="21" t="s">
        <v>13</v>
      </c>
      <c r="J223" s="1" t="s">
        <v>38</v>
      </c>
      <c r="K223" s="1" t="s">
        <v>39</v>
      </c>
      <c r="L223" s="1" t="s">
        <v>35</v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>
        <f ca="1">IF(Table1[[#This Row],[Inactive_Date]]="",DATEDIF(Table1[[#This Row],[Date_Acq]],TODAY(),"m"),DATEDIF(Table1[[#This Row],[Date_Acq]],Table1[[#This Row],[Inactive_Date]],"m"))</f>
        <v>42</v>
      </c>
    </row>
    <row r="224" spans="1:26" s="16" customFormat="1" x14ac:dyDescent="0.4">
      <c r="A224" s="6"/>
      <c r="B224" s="7"/>
      <c r="C224" s="4">
        <v>41414</v>
      </c>
      <c r="D224" s="1" t="s">
        <v>379</v>
      </c>
      <c r="E224" s="1" t="s">
        <v>417</v>
      </c>
      <c r="F224" s="1" t="s">
        <v>417</v>
      </c>
      <c r="G224" s="1">
        <v>7435</v>
      </c>
      <c r="H224" s="21">
        <v>56300</v>
      </c>
      <c r="I224" s="21" t="s">
        <v>13</v>
      </c>
      <c r="J224" s="1" t="s">
        <v>38</v>
      </c>
      <c r="K224" s="1" t="s">
        <v>39</v>
      </c>
      <c r="L224" s="1" t="s">
        <v>35</v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>
        <f ca="1">IF(Table1[[#This Row],[Inactive_Date]]="",DATEDIF(Table1[[#This Row],[Date_Acq]],TODAY(),"m"),DATEDIF(Table1[[#This Row],[Date_Acq]],Table1[[#This Row],[Inactive_Date]],"m"))</f>
        <v>42</v>
      </c>
    </row>
    <row r="225" spans="1:26" s="16" customFormat="1" hidden="1" x14ac:dyDescent="0.4">
      <c r="A225" s="6"/>
      <c r="B225" s="7"/>
      <c r="C225" s="4">
        <v>41432</v>
      </c>
      <c r="D225" s="1" t="s">
        <v>418</v>
      </c>
      <c r="E225" s="1" t="s">
        <v>419</v>
      </c>
      <c r="F225" s="1" t="s">
        <v>419</v>
      </c>
      <c r="G225" s="1">
        <v>900</v>
      </c>
      <c r="H225" s="21">
        <v>58660</v>
      </c>
      <c r="I225" s="21" t="s">
        <v>13</v>
      </c>
      <c r="J225" s="1"/>
      <c r="K225" s="1" t="s">
        <v>34</v>
      </c>
      <c r="L225" s="1" t="s">
        <v>51</v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>
        <f ca="1">IF(Table1[[#This Row],[Inactive_Date]]="",DATEDIF(Table1[[#This Row],[Date_Acq]],TODAY(),"m"),DATEDIF(Table1[[#This Row],[Date_Acq]],Table1[[#This Row],[Inactive_Date]],"m"))</f>
        <v>41</v>
      </c>
    </row>
    <row r="226" spans="1:26" s="16" customFormat="1" hidden="1" x14ac:dyDescent="0.4">
      <c r="A226" s="6"/>
      <c r="B226" s="7"/>
      <c r="C226" s="4">
        <v>41443</v>
      </c>
      <c r="D226" s="1" t="s">
        <v>208</v>
      </c>
      <c r="E226" s="1" t="s">
        <v>420</v>
      </c>
      <c r="F226" s="1" t="s">
        <v>420</v>
      </c>
      <c r="G226" s="1">
        <v>372.99</v>
      </c>
      <c r="H226" s="21">
        <v>56150</v>
      </c>
      <c r="I226" s="21" t="s">
        <v>13</v>
      </c>
      <c r="J226" s="1" t="s">
        <v>38</v>
      </c>
      <c r="K226" s="1" t="s">
        <v>34</v>
      </c>
      <c r="L226" s="1" t="s">
        <v>35</v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>
        <f ca="1">IF(Table1[[#This Row],[Inactive_Date]]="",DATEDIF(Table1[[#This Row],[Date_Acq]],TODAY(),"m"),DATEDIF(Table1[[#This Row],[Date_Acq]],Table1[[#This Row],[Inactive_Date]],"m"))</f>
        <v>41</v>
      </c>
    </row>
    <row r="227" spans="1:26" s="17" customFormat="1" hidden="1" x14ac:dyDescent="0.4">
      <c r="A227" s="6"/>
      <c r="B227" s="7"/>
      <c r="C227" s="4">
        <v>41444</v>
      </c>
      <c r="D227" s="2" t="s">
        <v>208</v>
      </c>
      <c r="E227" s="2" t="s">
        <v>421</v>
      </c>
      <c r="F227" s="2" t="s">
        <v>421</v>
      </c>
      <c r="G227" s="2">
        <v>249</v>
      </c>
      <c r="H227" s="21">
        <v>60130</v>
      </c>
      <c r="I227" s="21" t="s">
        <v>13</v>
      </c>
      <c r="J227" s="2" t="s">
        <v>46</v>
      </c>
      <c r="K227" s="2" t="s">
        <v>34</v>
      </c>
      <c r="L227" s="2" t="s">
        <v>35</v>
      </c>
      <c r="M227" s="2"/>
      <c r="N227" s="2"/>
      <c r="O227" s="2"/>
      <c r="P227" s="2"/>
      <c r="Q227" s="2"/>
      <c r="R227" s="1"/>
      <c r="S227" s="2"/>
      <c r="T227" s="1"/>
      <c r="U227" s="1"/>
      <c r="V227" s="2"/>
      <c r="W227" s="2"/>
      <c r="X227" s="2"/>
      <c r="Y227" s="2"/>
      <c r="Z227" s="1">
        <f ca="1">IF(Table1[[#This Row],[Inactive_Date]]="",DATEDIF(Table1[[#This Row],[Date_Acq]],TODAY(),"m"),DATEDIF(Table1[[#This Row],[Date_Acq]],Table1[[#This Row],[Inactive_Date]],"m"))</f>
        <v>41</v>
      </c>
    </row>
    <row r="228" spans="1:26" s="16" customFormat="1" hidden="1" x14ac:dyDescent="0.4">
      <c r="A228" s="6"/>
      <c r="B228" s="7"/>
      <c r="C228" s="4">
        <v>41445</v>
      </c>
      <c r="D228" s="1" t="s">
        <v>257</v>
      </c>
      <c r="E228" s="1" t="s">
        <v>422</v>
      </c>
      <c r="F228" s="1" t="s">
        <v>422</v>
      </c>
      <c r="G228" s="1">
        <v>479.99</v>
      </c>
      <c r="H228" s="21">
        <v>56150</v>
      </c>
      <c r="I228" s="21" t="s">
        <v>13</v>
      </c>
      <c r="J228" s="1" t="s">
        <v>38</v>
      </c>
      <c r="K228" s="1" t="s">
        <v>34</v>
      </c>
      <c r="L228" s="1" t="s">
        <v>35</v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>
        <f ca="1">IF(Table1[[#This Row],[Inactive_Date]]="",DATEDIF(Table1[[#This Row],[Date_Acq]],TODAY(),"m"),DATEDIF(Table1[[#This Row],[Date_Acq]],Table1[[#This Row],[Inactive_Date]],"m"))</f>
        <v>41</v>
      </c>
    </row>
    <row r="229" spans="1:26" s="16" customFormat="1" hidden="1" x14ac:dyDescent="0.4">
      <c r="A229" s="6"/>
      <c r="B229" s="7"/>
      <c r="C229" s="4">
        <v>41466</v>
      </c>
      <c r="D229" s="1" t="s">
        <v>177</v>
      </c>
      <c r="E229" s="1" t="s">
        <v>423</v>
      </c>
      <c r="F229" s="1" t="s">
        <v>423</v>
      </c>
      <c r="G229" s="1">
        <v>399.98</v>
      </c>
      <c r="H229" s="21">
        <v>57610</v>
      </c>
      <c r="I229" s="21" t="s">
        <v>13</v>
      </c>
      <c r="J229" s="1" t="s">
        <v>55</v>
      </c>
      <c r="K229" s="1" t="s">
        <v>34</v>
      </c>
      <c r="L229" s="1" t="s">
        <v>35</v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>
        <f ca="1">IF(Table1[[#This Row],[Inactive_Date]]="",DATEDIF(Table1[[#This Row],[Date_Acq]],TODAY(),"m"),DATEDIF(Table1[[#This Row],[Date_Acq]],Table1[[#This Row],[Inactive_Date]],"m"))</f>
        <v>40</v>
      </c>
    </row>
    <row r="230" spans="1:26" s="16" customFormat="1" hidden="1" x14ac:dyDescent="0.4">
      <c r="A230" s="6"/>
      <c r="B230" s="7"/>
      <c r="C230" s="4">
        <v>41466</v>
      </c>
      <c r="D230" s="1" t="s">
        <v>177</v>
      </c>
      <c r="E230" s="1" t="s">
        <v>424</v>
      </c>
      <c r="F230" s="1" t="s">
        <v>424</v>
      </c>
      <c r="G230" s="1">
        <v>569.99</v>
      </c>
      <c r="H230" s="21">
        <v>57610</v>
      </c>
      <c r="I230" s="21" t="s">
        <v>13</v>
      </c>
      <c r="J230" s="1" t="s">
        <v>55</v>
      </c>
      <c r="K230" s="1" t="s">
        <v>34</v>
      </c>
      <c r="L230" s="1" t="s">
        <v>35</v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>
        <f ca="1">IF(Table1[[#This Row],[Inactive_Date]]="",DATEDIF(Table1[[#This Row],[Date_Acq]],TODAY(),"m"),DATEDIF(Table1[[#This Row],[Date_Acq]],Table1[[#This Row],[Inactive_Date]],"m"))</f>
        <v>40</v>
      </c>
    </row>
    <row r="231" spans="1:26" s="16" customFormat="1" hidden="1" x14ac:dyDescent="0.4">
      <c r="A231" s="6"/>
      <c r="B231" s="7"/>
      <c r="C231" s="4">
        <v>41466</v>
      </c>
      <c r="D231" s="1" t="s">
        <v>177</v>
      </c>
      <c r="E231" s="1" t="s">
        <v>425</v>
      </c>
      <c r="F231" s="1" t="s">
        <v>425</v>
      </c>
      <c r="G231" s="1">
        <v>649.99</v>
      </c>
      <c r="H231" s="21">
        <v>57610</v>
      </c>
      <c r="I231" s="21" t="s">
        <v>13</v>
      </c>
      <c r="J231" s="1" t="s">
        <v>55</v>
      </c>
      <c r="K231" s="1" t="s">
        <v>34</v>
      </c>
      <c r="L231" s="1" t="s">
        <v>35</v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>
        <f ca="1">IF(Table1[[#This Row],[Inactive_Date]]="",DATEDIF(Table1[[#This Row],[Date_Acq]],TODAY(),"m"),DATEDIF(Table1[[#This Row],[Date_Acq]],Table1[[#This Row],[Inactive_Date]],"m"))</f>
        <v>40</v>
      </c>
    </row>
    <row r="232" spans="1:26" s="16" customFormat="1" hidden="1" x14ac:dyDescent="0.4">
      <c r="A232" s="6"/>
      <c r="B232" s="7"/>
      <c r="C232" s="4">
        <v>41480</v>
      </c>
      <c r="D232" s="1" t="s">
        <v>426</v>
      </c>
      <c r="E232" s="1" t="s">
        <v>427</v>
      </c>
      <c r="F232" s="1" t="s">
        <v>427</v>
      </c>
      <c r="G232" s="1">
        <v>1150</v>
      </c>
      <c r="H232" s="21">
        <v>56200</v>
      </c>
      <c r="I232" s="21" t="s">
        <v>167</v>
      </c>
      <c r="J232" s="1" t="s">
        <v>38</v>
      </c>
      <c r="K232" s="1" t="s">
        <v>34</v>
      </c>
      <c r="L232" s="1" t="s">
        <v>35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>
        <f ca="1">IF(Table1[[#This Row],[Inactive_Date]]="",DATEDIF(Table1[[#This Row],[Date_Acq]],TODAY(),"m"),DATEDIF(Table1[[#This Row],[Date_Acq]],Table1[[#This Row],[Inactive_Date]],"m"))</f>
        <v>39</v>
      </c>
    </row>
    <row r="233" spans="1:26" s="16" customFormat="1" x14ac:dyDescent="0.4">
      <c r="A233" s="6"/>
      <c r="B233" s="7"/>
      <c r="C233" s="4">
        <v>41480</v>
      </c>
      <c r="D233" s="1" t="s">
        <v>428</v>
      </c>
      <c r="E233" s="1" t="s">
        <v>429</v>
      </c>
      <c r="F233" s="1" t="s">
        <v>429</v>
      </c>
      <c r="G233" s="1">
        <v>3495</v>
      </c>
      <c r="H233" s="21">
        <v>57840</v>
      </c>
      <c r="I233" s="21" t="s">
        <v>13</v>
      </c>
      <c r="J233" s="1" t="s">
        <v>73</v>
      </c>
      <c r="K233" s="1" t="s">
        <v>39</v>
      </c>
      <c r="L233" s="1" t="s">
        <v>35</v>
      </c>
      <c r="M233" s="1"/>
      <c r="N233" s="1" t="s">
        <v>430</v>
      </c>
      <c r="O233" s="1"/>
      <c r="P233" s="1">
        <v>900014372</v>
      </c>
      <c r="Q233" s="1"/>
      <c r="R233" s="1"/>
      <c r="S233" s="1"/>
      <c r="T233" s="1"/>
      <c r="U233" s="1"/>
      <c r="V233" s="1"/>
      <c r="W233" s="1"/>
      <c r="X233" s="1"/>
      <c r="Y233" s="1"/>
      <c r="Z233" s="1">
        <f ca="1">IF(Table1[[#This Row],[Inactive_Date]]="",DATEDIF(Table1[[#This Row],[Date_Acq]],TODAY(),"m"),DATEDIF(Table1[[#This Row],[Date_Acq]],Table1[[#This Row],[Inactive_Date]],"m"))</f>
        <v>39</v>
      </c>
    </row>
    <row r="234" spans="1:26" s="16" customFormat="1" hidden="1" x14ac:dyDescent="0.4">
      <c r="A234" s="6"/>
      <c r="B234" s="7"/>
      <c r="C234" s="4">
        <v>41480</v>
      </c>
      <c r="D234" s="1" t="s">
        <v>301</v>
      </c>
      <c r="E234" s="1" t="s">
        <v>431</v>
      </c>
      <c r="F234" s="1" t="s">
        <v>431</v>
      </c>
      <c r="G234" s="1">
        <v>369</v>
      </c>
      <c r="H234" s="21">
        <v>57520</v>
      </c>
      <c r="I234" s="21" t="s">
        <v>309</v>
      </c>
      <c r="J234" s="1" t="s">
        <v>38</v>
      </c>
      <c r="K234" s="1" t="s">
        <v>34</v>
      </c>
      <c r="L234" s="1" t="s">
        <v>35</v>
      </c>
      <c r="M234" s="1"/>
      <c r="N234" s="1" t="s">
        <v>210</v>
      </c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>
        <f ca="1">IF(Table1[[#This Row],[Inactive_Date]]="",DATEDIF(Table1[[#This Row],[Date_Acq]],TODAY(),"m"),DATEDIF(Table1[[#This Row],[Date_Acq]],Table1[[#This Row],[Inactive_Date]],"m"))</f>
        <v>39</v>
      </c>
    </row>
    <row r="235" spans="1:26" s="16" customFormat="1" hidden="1" x14ac:dyDescent="0.4">
      <c r="A235" s="6"/>
      <c r="B235" s="7"/>
      <c r="C235" s="4">
        <v>41480</v>
      </c>
      <c r="D235" s="1" t="s">
        <v>432</v>
      </c>
      <c r="E235" s="1" t="s">
        <v>433</v>
      </c>
      <c r="F235" s="1" t="s">
        <v>433</v>
      </c>
      <c r="G235" s="1">
        <v>730</v>
      </c>
      <c r="H235" s="21">
        <v>56200</v>
      </c>
      <c r="I235" s="21" t="s">
        <v>13</v>
      </c>
      <c r="J235" s="1" t="s">
        <v>38</v>
      </c>
      <c r="K235" s="1" t="s">
        <v>34</v>
      </c>
      <c r="L235" s="1" t="s">
        <v>35</v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>
        <f ca="1">IF(Table1[[#This Row],[Inactive_Date]]="",DATEDIF(Table1[[#This Row],[Date_Acq]],TODAY(),"m"),DATEDIF(Table1[[#This Row],[Date_Acq]],Table1[[#This Row],[Inactive_Date]],"m"))</f>
        <v>39</v>
      </c>
    </row>
    <row r="236" spans="1:26" s="16" customFormat="1" hidden="1" x14ac:dyDescent="0.4">
      <c r="A236" s="6"/>
      <c r="B236" s="7"/>
      <c r="C236" s="4">
        <v>41533</v>
      </c>
      <c r="D236" s="1" t="s">
        <v>248</v>
      </c>
      <c r="E236" s="1" t="s">
        <v>434</v>
      </c>
      <c r="F236" s="1" t="s">
        <v>434</v>
      </c>
      <c r="G236" s="1">
        <v>319</v>
      </c>
      <c r="H236" s="21">
        <v>58620</v>
      </c>
      <c r="I236" s="21" t="s">
        <v>13</v>
      </c>
      <c r="J236" s="1"/>
      <c r="K236" s="1" t="s">
        <v>34</v>
      </c>
      <c r="L236" s="1" t="s">
        <v>51</v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>
        <f ca="1">IF(Table1[[#This Row],[Inactive_Date]]="",DATEDIF(Table1[[#This Row],[Date_Acq]],TODAY(),"m"),DATEDIF(Table1[[#This Row],[Date_Acq]],Table1[[#This Row],[Inactive_Date]],"m"))</f>
        <v>38</v>
      </c>
    </row>
    <row r="237" spans="1:26" s="16" customFormat="1" hidden="1" x14ac:dyDescent="0.4">
      <c r="A237" s="6"/>
      <c r="B237" s="7"/>
      <c r="C237" s="4">
        <v>41533</v>
      </c>
      <c r="D237" s="1" t="s">
        <v>248</v>
      </c>
      <c r="E237" s="1" t="s">
        <v>435</v>
      </c>
      <c r="F237" s="1" t="s">
        <v>435</v>
      </c>
      <c r="G237" s="1">
        <v>424</v>
      </c>
      <c r="H237" s="21">
        <v>54630</v>
      </c>
      <c r="I237" s="21" t="s">
        <v>13</v>
      </c>
      <c r="J237" s="1" t="s">
        <v>33</v>
      </c>
      <c r="K237" s="1" t="s">
        <v>34</v>
      </c>
      <c r="L237" s="1" t="s">
        <v>35</v>
      </c>
      <c r="M237" s="1"/>
      <c r="N237" s="1" t="s">
        <v>306</v>
      </c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>
        <f ca="1">IF(Table1[[#This Row],[Inactive_Date]]="",DATEDIF(Table1[[#This Row],[Date_Acq]],TODAY(),"m"),DATEDIF(Table1[[#This Row],[Date_Acq]],Table1[[#This Row],[Inactive_Date]],"m"))</f>
        <v>38</v>
      </c>
    </row>
    <row r="238" spans="1:26" s="16" customFormat="1" hidden="1" x14ac:dyDescent="0.4">
      <c r="A238" s="6"/>
      <c r="B238" s="7"/>
      <c r="C238" s="4">
        <v>41533</v>
      </c>
      <c r="D238" s="1" t="s">
        <v>248</v>
      </c>
      <c r="E238" s="1" t="s">
        <v>436</v>
      </c>
      <c r="F238" s="1" t="s">
        <v>436</v>
      </c>
      <c r="G238" s="1">
        <v>319</v>
      </c>
      <c r="H238" s="21">
        <v>58650</v>
      </c>
      <c r="I238" s="21" t="s">
        <v>13</v>
      </c>
      <c r="J238" s="1"/>
      <c r="K238" s="1" t="s">
        <v>34</v>
      </c>
      <c r="L238" s="1" t="s">
        <v>51</v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>
        <f ca="1">IF(Table1[[#This Row],[Inactive_Date]]="",DATEDIF(Table1[[#This Row],[Date_Acq]],TODAY(),"m"),DATEDIF(Table1[[#This Row],[Date_Acq]],Table1[[#This Row],[Inactive_Date]],"m"))</f>
        <v>38</v>
      </c>
    </row>
    <row r="239" spans="1:26" s="16" customFormat="1" hidden="1" x14ac:dyDescent="0.4">
      <c r="A239" s="6"/>
      <c r="B239" s="7"/>
      <c r="C239" s="4">
        <v>41534</v>
      </c>
      <c r="D239" s="1" t="s">
        <v>437</v>
      </c>
      <c r="E239" s="1" t="s">
        <v>438</v>
      </c>
      <c r="F239" s="1" t="s">
        <v>438</v>
      </c>
      <c r="G239" s="1">
        <v>999.95</v>
      </c>
      <c r="H239" s="21">
        <v>57920</v>
      </c>
      <c r="I239" s="21" t="s">
        <v>13</v>
      </c>
      <c r="J239" s="1" t="s">
        <v>38</v>
      </c>
      <c r="K239" s="1" t="s">
        <v>34</v>
      </c>
      <c r="L239" s="1" t="s">
        <v>35</v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>
        <f ca="1">IF(Table1[[#This Row],[Inactive_Date]]="",DATEDIF(Table1[[#This Row],[Date_Acq]],TODAY(),"m"),DATEDIF(Table1[[#This Row],[Date_Acq]],Table1[[#This Row],[Inactive_Date]],"m"))</f>
        <v>38</v>
      </c>
    </row>
    <row r="240" spans="1:26" s="16" customFormat="1" hidden="1" x14ac:dyDescent="0.4">
      <c r="A240" s="6"/>
      <c r="B240" s="7"/>
      <c r="C240" s="4">
        <v>41544</v>
      </c>
      <c r="D240" s="1" t="s">
        <v>439</v>
      </c>
      <c r="E240" s="1" t="s">
        <v>440</v>
      </c>
      <c r="F240" s="1" t="s">
        <v>440</v>
      </c>
      <c r="G240" s="1">
        <v>300</v>
      </c>
      <c r="H240" s="21">
        <v>56100</v>
      </c>
      <c r="I240" s="21" t="s">
        <v>13</v>
      </c>
      <c r="J240" s="1" t="s">
        <v>38</v>
      </c>
      <c r="K240" s="1" t="s">
        <v>34</v>
      </c>
      <c r="L240" s="1" t="s">
        <v>35</v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>
        <f ca="1">IF(Table1[[#This Row],[Inactive_Date]]="",DATEDIF(Table1[[#This Row],[Date_Acq]],TODAY(),"m"),DATEDIF(Table1[[#This Row],[Date_Acq]],Table1[[#This Row],[Inactive_Date]],"m"))</f>
        <v>37</v>
      </c>
    </row>
    <row r="241" spans="1:26" s="16" customFormat="1" hidden="1" x14ac:dyDescent="0.4">
      <c r="A241" s="6"/>
      <c r="B241" s="7"/>
      <c r="C241" s="4">
        <v>41554</v>
      </c>
      <c r="D241" s="1" t="s">
        <v>441</v>
      </c>
      <c r="E241" s="1" t="s">
        <v>442</v>
      </c>
      <c r="F241" s="1" t="s">
        <v>442</v>
      </c>
      <c r="G241" s="1">
        <v>449</v>
      </c>
      <c r="H241" s="21">
        <v>58660</v>
      </c>
      <c r="I241" s="21" t="s">
        <v>13</v>
      </c>
      <c r="J241" s="1"/>
      <c r="K241" s="1" t="s">
        <v>34</v>
      </c>
      <c r="L241" s="1" t="s">
        <v>51</v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>
        <f ca="1">IF(Table1[[#This Row],[Inactive_Date]]="",DATEDIF(Table1[[#This Row],[Date_Acq]],TODAY(),"m"),DATEDIF(Table1[[#This Row],[Date_Acq]],Table1[[#This Row],[Inactive_Date]],"m"))</f>
        <v>37</v>
      </c>
    </row>
    <row r="242" spans="1:26" s="16" customFormat="1" x14ac:dyDescent="0.4">
      <c r="A242" s="6"/>
      <c r="B242" s="7"/>
      <c r="C242" s="4">
        <v>41562</v>
      </c>
      <c r="D242" s="1" t="s">
        <v>443</v>
      </c>
      <c r="E242" s="1" t="s">
        <v>444</v>
      </c>
      <c r="F242" s="1" t="s">
        <v>445</v>
      </c>
      <c r="G242" s="1">
        <v>2000</v>
      </c>
      <c r="H242" s="21">
        <v>57760</v>
      </c>
      <c r="I242" s="21" t="s">
        <v>13</v>
      </c>
      <c r="J242" s="1" t="s">
        <v>73</v>
      </c>
      <c r="K242" s="1" t="s">
        <v>39</v>
      </c>
      <c r="L242" s="1" t="s">
        <v>35</v>
      </c>
      <c r="M242" s="1"/>
      <c r="N242" s="1"/>
      <c r="O242" s="1"/>
      <c r="P242" s="1"/>
      <c r="Q242" s="1" t="s">
        <v>446</v>
      </c>
      <c r="R242" s="1"/>
      <c r="S242" s="1"/>
      <c r="T242" s="1"/>
      <c r="U242" s="1"/>
      <c r="V242" s="1"/>
      <c r="W242" s="1"/>
      <c r="X242" s="1"/>
      <c r="Y242" s="1"/>
      <c r="Z242" s="1">
        <f ca="1">IF(Table1[[#This Row],[Inactive_Date]]="",DATEDIF(Table1[[#This Row],[Date_Acq]],TODAY(),"m"),DATEDIF(Table1[[#This Row],[Date_Acq]],Table1[[#This Row],[Inactive_Date]],"m"))</f>
        <v>37</v>
      </c>
    </row>
    <row r="243" spans="1:26" s="16" customFormat="1" x14ac:dyDescent="0.4">
      <c r="A243" s="6"/>
      <c r="B243" s="7"/>
      <c r="C243" s="4">
        <v>41562</v>
      </c>
      <c r="D243" s="1" t="s">
        <v>443</v>
      </c>
      <c r="E243" s="1" t="s">
        <v>447</v>
      </c>
      <c r="F243" s="1" t="s">
        <v>448</v>
      </c>
      <c r="G243" s="1">
        <v>1800</v>
      </c>
      <c r="H243" s="21">
        <v>57760</v>
      </c>
      <c r="I243" s="21" t="s">
        <v>13</v>
      </c>
      <c r="J243" s="1" t="s">
        <v>73</v>
      </c>
      <c r="K243" s="1" t="s">
        <v>39</v>
      </c>
      <c r="L243" s="1" t="s">
        <v>35</v>
      </c>
      <c r="M243" s="1"/>
      <c r="N243" s="1" t="s">
        <v>449</v>
      </c>
      <c r="O243" s="1"/>
      <c r="P243" s="1"/>
      <c r="Q243" s="1" t="s">
        <v>450</v>
      </c>
      <c r="R243" s="1"/>
      <c r="S243" s="1"/>
      <c r="T243" s="1"/>
      <c r="U243" s="1"/>
      <c r="V243" s="1"/>
      <c r="W243" s="1"/>
      <c r="X243" s="1"/>
      <c r="Y243" s="1"/>
      <c r="Z243" s="1">
        <f ca="1">IF(Table1[[#This Row],[Inactive_Date]]="",DATEDIF(Table1[[#This Row],[Date_Acq]],TODAY(),"m"),DATEDIF(Table1[[#This Row],[Date_Acq]],Table1[[#This Row],[Inactive_Date]],"m"))</f>
        <v>37</v>
      </c>
    </row>
    <row r="244" spans="1:26" s="16" customFormat="1" x14ac:dyDescent="0.4">
      <c r="A244" s="6"/>
      <c r="B244" s="7"/>
      <c r="C244" s="4">
        <v>41562</v>
      </c>
      <c r="D244" s="1" t="s">
        <v>443</v>
      </c>
      <c r="E244" s="1" t="s">
        <v>447</v>
      </c>
      <c r="F244" s="1" t="s">
        <v>448</v>
      </c>
      <c r="G244" s="1">
        <v>1800</v>
      </c>
      <c r="H244" s="21">
        <v>57760</v>
      </c>
      <c r="I244" s="21" t="s">
        <v>13</v>
      </c>
      <c r="J244" s="1" t="s">
        <v>73</v>
      </c>
      <c r="K244" s="1" t="s">
        <v>39</v>
      </c>
      <c r="L244" s="1" t="s">
        <v>35</v>
      </c>
      <c r="M244" s="1"/>
      <c r="N244" s="1" t="s">
        <v>449</v>
      </c>
      <c r="O244" s="1"/>
      <c r="P244" s="1"/>
      <c r="Q244" s="1" t="s">
        <v>451</v>
      </c>
      <c r="R244" s="1"/>
      <c r="S244" s="1"/>
      <c r="T244" s="1"/>
      <c r="U244" s="1"/>
      <c r="V244" s="1"/>
      <c r="W244" s="1"/>
      <c r="X244" s="1"/>
      <c r="Y244" s="1"/>
      <c r="Z244" s="1">
        <f ca="1">IF(Table1[[#This Row],[Inactive_Date]]="",DATEDIF(Table1[[#This Row],[Date_Acq]],TODAY(),"m"),DATEDIF(Table1[[#This Row],[Date_Acq]],Table1[[#This Row],[Inactive_Date]],"m"))</f>
        <v>37</v>
      </c>
    </row>
    <row r="245" spans="1:26" s="17" customFormat="1" hidden="1" x14ac:dyDescent="0.4">
      <c r="A245" s="6"/>
      <c r="B245" s="7"/>
      <c r="C245" s="4">
        <v>41579</v>
      </c>
      <c r="D245" s="2" t="s">
        <v>452</v>
      </c>
      <c r="E245" s="2" t="s">
        <v>453</v>
      </c>
      <c r="F245" s="2"/>
      <c r="G245" s="2">
        <v>300</v>
      </c>
      <c r="H245" s="21">
        <v>57520</v>
      </c>
      <c r="I245" s="21" t="s">
        <v>13</v>
      </c>
      <c r="J245" s="2" t="s">
        <v>46</v>
      </c>
      <c r="K245" s="2" t="s">
        <v>34</v>
      </c>
      <c r="L245" s="2" t="s">
        <v>35</v>
      </c>
      <c r="M245" s="2"/>
      <c r="N245" s="2" t="s">
        <v>454</v>
      </c>
      <c r="O245" s="2" t="s">
        <v>455</v>
      </c>
      <c r="P245" s="2" t="s">
        <v>456</v>
      </c>
      <c r="Q245" s="2" t="s">
        <v>110</v>
      </c>
      <c r="R245" s="1">
        <v>3</v>
      </c>
      <c r="S245" s="2"/>
      <c r="T245" s="1" t="s">
        <v>410</v>
      </c>
      <c r="U245" s="1"/>
      <c r="V245" s="2"/>
      <c r="W245" s="2"/>
      <c r="X245" s="2"/>
      <c r="Y245" s="2"/>
      <c r="Z245" s="1">
        <f ca="1">IF(Table1[[#This Row],[Inactive_Date]]="",DATEDIF(Table1[[#This Row],[Date_Acq]],TODAY(),"m"),DATEDIF(Table1[[#This Row],[Date_Acq]],Table1[[#This Row],[Inactive_Date]],"m"))</f>
        <v>36</v>
      </c>
    </row>
    <row r="246" spans="1:26" s="16" customFormat="1" hidden="1" x14ac:dyDescent="0.4">
      <c r="A246" s="6"/>
      <c r="B246" s="7"/>
      <c r="C246" s="4">
        <v>41586</v>
      </c>
      <c r="D246" s="1" t="s">
        <v>241</v>
      </c>
      <c r="E246" s="1" t="s">
        <v>457</v>
      </c>
      <c r="F246" s="1" t="s">
        <v>457</v>
      </c>
      <c r="G246" s="1">
        <v>1353.04</v>
      </c>
      <c r="H246" s="21">
        <v>58610</v>
      </c>
      <c r="I246" s="21" t="s">
        <v>13</v>
      </c>
      <c r="J246" s="1"/>
      <c r="K246" s="1" t="s">
        <v>34</v>
      </c>
      <c r="L246" s="1" t="s">
        <v>51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>
        <f ca="1">IF(Table1[[#This Row],[Inactive_Date]]="",DATEDIF(Table1[[#This Row],[Date_Acq]],TODAY(),"m"),DATEDIF(Table1[[#This Row],[Date_Acq]],Table1[[#This Row],[Inactive_Date]],"m"))</f>
        <v>36</v>
      </c>
    </row>
    <row r="247" spans="1:26" s="16" customFormat="1" hidden="1" x14ac:dyDescent="0.4">
      <c r="A247" s="6"/>
      <c r="B247" s="7"/>
      <c r="C247" s="4">
        <v>41586</v>
      </c>
      <c r="D247" s="1" t="s">
        <v>241</v>
      </c>
      <c r="E247" s="1" t="s">
        <v>458</v>
      </c>
      <c r="F247" s="1" t="s">
        <v>458</v>
      </c>
      <c r="G247" s="1">
        <v>362</v>
      </c>
      <c r="H247" s="21">
        <v>58610</v>
      </c>
      <c r="I247" s="21" t="s">
        <v>13</v>
      </c>
      <c r="J247" s="1"/>
      <c r="K247" s="1" t="s">
        <v>34</v>
      </c>
      <c r="L247" s="1" t="s">
        <v>51</v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>
        <f ca="1">IF(Table1[[#This Row],[Inactive_Date]]="",DATEDIF(Table1[[#This Row],[Date_Acq]],TODAY(),"m"),DATEDIF(Table1[[#This Row],[Date_Acq]],Table1[[#This Row],[Inactive_Date]],"m"))</f>
        <v>36</v>
      </c>
    </row>
    <row r="248" spans="1:26" s="16" customFormat="1" hidden="1" x14ac:dyDescent="0.4">
      <c r="A248" s="6"/>
      <c r="B248" s="7"/>
      <c r="C248" s="4">
        <v>41596</v>
      </c>
      <c r="D248" s="1" t="s">
        <v>459</v>
      </c>
      <c r="E248" s="1" t="s">
        <v>460</v>
      </c>
      <c r="F248" s="1" t="s">
        <v>460</v>
      </c>
      <c r="G248" s="1">
        <v>627</v>
      </c>
      <c r="H248" s="21">
        <v>58540</v>
      </c>
      <c r="I248" s="21" t="s">
        <v>13</v>
      </c>
      <c r="J248" s="1"/>
      <c r="K248" s="1" t="s">
        <v>34</v>
      </c>
      <c r="L248" s="1" t="s">
        <v>51</v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>
        <f ca="1">IF(Table1[[#This Row],[Inactive_Date]]="",DATEDIF(Table1[[#This Row],[Date_Acq]],TODAY(),"m"),DATEDIF(Table1[[#This Row],[Date_Acq]],Table1[[#This Row],[Inactive_Date]],"m"))</f>
        <v>36</v>
      </c>
    </row>
    <row r="249" spans="1:26" s="16" customFormat="1" hidden="1" x14ac:dyDescent="0.4">
      <c r="A249" s="6"/>
      <c r="B249" s="7"/>
      <c r="C249" s="4">
        <v>41597</v>
      </c>
      <c r="D249" s="1" t="s">
        <v>461</v>
      </c>
      <c r="E249" s="1" t="s">
        <v>462</v>
      </c>
      <c r="F249" s="1" t="s">
        <v>462</v>
      </c>
      <c r="G249" s="1">
        <v>2319.2800000000002</v>
      </c>
      <c r="H249" s="21">
        <v>58540</v>
      </c>
      <c r="I249" s="21" t="s">
        <v>13</v>
      </c>
      <c r="J249" s="1"/>
      <c r="K249" s="1" t="s">
        <v>34</v>
      </c>
      <c r="L249" s="1" t="s">
        <v>51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>
        <f ca="1">IF(Table1[[#This Row],[Inactive_Date]]="",DATEDIF(Table1[[#This Row],[Date_Acq]],TODAY(),"m"),DATEDIF(Table1[[#This Row],[Date_Acq]],Table1[[#This Row],[Inactive_Date]],"m"))</f>
        <v>36</v>
      </c>
    </row>
    <row r="250" spans="1:26" s="16" customFormat="1" hidden="1" x14ac:dyDescent="0.4">
      <c r="A250" s="6"/>
      <c r="B250" s="7"/>
      <c r="C250" s="4">
        <v>41606</v>
      </c>
      <c r="D250" s="1" t="s">
        <v>463</v>
      </c>
      <c r="E250" s="1" t="s">
        <v>464</v>
      </c>
      <c r="F250" s="1" t="s">
        <v>464</v>
      </c>
      <c r="G250" s="1">
        <v>299</v>
      </c>
      <c r="H250" s="21">
        <v>54250</v>
      </c>
      <c r="I250" s="21" t="s">
        <v>13</v>
      </c>
      <c r="J250" s="1" t="s">
        <v>33</v>
      </c>
      <c r="K250" s="1" t="s">
        <v>34</v>
      </c>
      <c r="L250" s="1" t="s">
        <v>35</v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>
        <f ca="1">IF(Table1[[#This Row],[Inactive_Date]]="",DATEDIF(Table1[[#This Row],[Date_Acq]],TODAY(),"m"),DATEDIF(Table1[[#This Row],[Date_Acq]],Table1[[#This Row],[Inactive_Date]],"m"))</f>
        <v>35</v>
      </c>
    </row>
    <row r="251" spans="1:26" s="16" customFormat="1" hidden="1" x14ac:dyDescent="0.4">
      <c r="A251" s="6"/>
      <c r="B251" s="7"/>
      <c r="C251" s="4">
        <v>41618</v>
      </c>
      <c r="D251" s="1" t="s">
        <v>241</v>
      </c>
      <c r="E251" s="1" t="s">
        <v>465</v>
      </c>
      <c r="F251" s="1" t="s">
        <v>466</v>
      </c>
      <c r="G251" s="1">
        <v>3044.34</v>
      </c>
      <c r="H251" s="21">
        <v>57740</v>
      </c>
      <c r="I251" s="21" t="s">
        <v>13</v>
      </c>
      <c r="J251" s="1" t="s">
        <v>55</v>
      </c>
      <c r="K251" s="1" t="s">
        <v>34</v>
      </c>
      <c r="L251" s="1" t="s">
        <v>35</v>
      </c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>
        <f ca="1">IF(Table1[[#This Row],[Inactive_Date]]="",DATEDIF(Table1[[#This Row],[Date_Acq]],TODAY(),"m"),DATEDIF(Table1[[#This Row],[Date_Acq]],Table1[[#This Row],[Inactive_Date]],"m"))</f>
        <v>35</v>
      </c>
    </row>
    <row r="252" spans="1:26" s="16" customFormat="1" hidden="1" x14ac:dyDescent="0.4">
      <c r="A252" s="6"/>
      <c r="B252" s="7"/>
      <c r="C252" s="4">
        <v>41618</v>
      </c>
      <c r="D252" s="1" t="s">
        <v>241</v>
      </c>
      <c r="E252" s="1" t="s">
        <v>467</v>
      </c>
      <c r="F252" s="1" t="s">
        <v>467</v>
      </c>
      <c r="G252" s="1">
        <v>724</v>
      </c>
      <c r="H252" s="21">
        <v>57740</v>
      </c>
      <c r="I252" s="21" t="s">
        <v>13</v>
      </c>
      <c r="J252" s="1" t="s">
        <v>55</v>
      </c>
      <c r="K252" s="1" t="s">
        <v>34</v>
      </c>
      <c r="L252" s="1" t="s">
        <v>35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>
        <f ca="1">IF(Table1[[#This Row],[Inactive_Date]]="",DATEDIF(Table1[[#This Row],[Date_Acq]],TODAY(),"m"),DATEDIF(Table1[[#This Row],[Date_Acq]],Table1[[#This Row],[Inactive_Date]],"m"))</f>
        <v>35</v>
      </c>
    </row>
    <row r="253" spans="1:26" s="17" customFormat="1" x14ac:dyDescent="0.4">
      <c r="A253" s="6"/>
      <c r="B253" s="7"/>
      <c r="C253" s="4">
        <v>41664</v>
      </c>
      <c r="D253" s="2" t="s">
        <v>360</v>
      </c>
      <c r="E253" s="2" t="s">
        <v>468</v>
      </c>
      <c r="F253" s="2" t="s">
        <v>468</v>
      </c>
      <c r="G253" s="2">
        <v>1790</v>
      </c>
      <c r="H253" s="21">
        <v>57520</v>
      </c>
      <c r="I253" s="21" t="s">
        <v>13</v>
      </c>
      <c r="J253" s="2" t="s">
        <v>46</v>
      </c>
      <c r="K253" s="2" t="s">
        <v>39</v>
      </c>
      <c r="L253" s="2" t="s">
        <v>35</v>
      </c>
      <c r="M253" s="2"/>
      <c r="N253" s="2"/>
      <c r="O253" s="2"/>
      <c r="P253" s="2"/>
      <c r="Q253" s="2"/>
      <c r="R253" s="1"/>
      <c r="S253" s="2"/>
      <c r="T253" s="1"/>
      <c r="U253" s="1"/>
      <c r="V253" s="2"/>
      <c r="W253" s="2"/>
      <c r="X253" s="2"/>
      <c r="Y253" s="2"/>
      <c r="Z253" s="1">
        <f ca="1">IF(Table1[[#This Row],[Inactive_Date]]="",DATEDIF(Table1[[#This Row],[Date_Acq]],TODAY(),"m"),DATEDIF(Table1[[#This Row],[Date_Acq]],Table1[[#This Row],[Inactive_Date]],"m"))</f>
        <v>33</v>
      </c>
    </row>
    <row r="254" spans="1:26" s="16" customFormat="1" hidden="1" x14ac:dyDescent="0.4">
      <c r="A254" s="6"/>
      <c r="B254" s="7"/>
      <c r="C254" s="4">
        <v>41668</v>
      </c>
      <c r="D254" s="1" t="s">
        <v>257</v>
      </c>
      <c r="E254" s="1" t="s">
        <v>469</v>
      </c>
      <c r="F254" s="1" t="s">
        <v>469</v>
      </c>
      <c r="G254" s="1">
        <v>459.98</v>
      </c>
      <c r="H254" s="21">
        <v>55250</v>
      </c>
      <c r="I254" s="21" t="s">
        <v>13</v>
      </c>
      <c r="J254" s="1" t="s">
        <v>413</v>
      </c>
      <c r="K254" s="1" t="s">
        <v>34</v>
      </c>
      <c r="L254" s="1" t="s">
        <v>35</v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>
        <f ca="1">IF(Table1[[#This Row],[Inactive_Date]]="",DATEDIF(Table1[[#This Row],[Date_Acq]],TODAY(),"m"),DATEDIF(Table1[[#This Row],[Date_Acq]],Table1[[#This Row],[Inactive_Date]],"m"))</f>
        <v>33</v>
      </c>
    </row>
    <row r="255" spans="1:26" s="17" customFormat="1" hidden="1" x14ac:dyDescent="0.4">
      <c r="A255" s="6"/>
      <c r="B255" s="7"/>
      <c r="C255" s="4">
        <v>41675</v>
      </c>
      <c r="D255" s="2" t="s">
        <v>437</v>
      </c>
      <c r="E255" s="2" t="s">
        <v>470</v>
      </c>
      <c r="F255" s="2" t="s">
        <v>470</v>
      </c>
      <c r="G255" s="2">
        <v>437.99</v>
      </c>
      <c r="H255" s="21"/>
      <c r="I255" s="21" t="s">
        <v>13</v>
      </c>
      <c r="J255" s="2" t="s">
        <v>46</v>
      </c>
      <c r="K255" s="2" t="s">
        <v>34</v>
      </c>
      <c r="L255" s="2" t="s">
        <v>51</v>
      </c>
      <c r="M255" s="2"/>
      <c r="N255" s="2" t="s">
        <v>471</v>
      </c>
      <c r="O255" s="2" t="s">
        <v>472</v>
      </c>
      <c r="P255" s="2" t="s">
        <v>473</v>
      </c>
      <c r="Q255" s="2" t="s">
        <v>474</v>
      </c>
      <c r="R255" s="1">
        <v>3</v>
      </c>
      <c r="S255" s="2"/>
      <c r="T255" s="1"/>
      <c r="U255" s="1"/>
      <c r="V255" s="2"/>
      <c r="W255" s="2"/>
      <c r="X255" s="2"/>
      <c r="Y255" s="2"/>
      <c r="Z255" s="1">
        <f ca="1">IF(Table1[[#This Row],[Inactive_Date]]="",DATEDIF(Table1[[#This Row],[Date_Acq]],TODAY(),"m"),DATEDIF(Table1[[#This Row],[Date_Acq]],Table1[[#This Row],[Inactive_Date]],"m"))</f>
        <v>33</v>
      </c>
    </row>
    <row r="256" spans="1:26" s="17" customFormat="1" hidden="1" x14ac:dyDescent="0.4">
      <c r="A256" s="6"/>
      <c r="B256" s="7"/>
      <c r="C256" s="4">
        <v>41675</v>
      </c>
      <c r="D256" s="2" t="s">
        <v>437</v>
      </c>
      <c r="E256" s="2" t="s">
        <v>470</v>
      </c>
      <c r="F256" s="2" t="s">
        <v>475</v>
      </c>
      <c r="G256" s="2">
        <v>437.99</v>
      </c>
      <c r="H256" s="21"/>
      <c r="I256" s="21" t="s">
        <v>13</v>
      </c>
      <c r="J256" s="2" t="s">
        <v>46</v>
      </c>
      <c r="K256" s="2" t="s">
        <v>34</v>
      </c>
      <c r="L256" s="2" t="s">
        <v>51</v>
      </c>
      <c r="M256" s="2"/>
      <c r="N256" s="2" t="s">
        <v>471</v>
      </c>
      <c r="O256" s="2" t="s">
        <v>472</v>
      </c>
      <c r="P256" s="2" t="s">
        <v>476</v>
      </c>
      <c r="Q256" s="2" t="s">
        <v>474</v>
      </c>
      <c r="R256" s="1">
        <v>3</v>
      </c>
      <c r="S256" s="2"/>
      <c r="T256" s="1"/>
      <c r="U256" s="1"/>
      <c r="V256" s="2"/>
      <c r="W256" s="2"/>
      <c r="X256" s="2"/>
      <c r="Y256" s="2"/>
      <c r="Z256" s="1">
        <f ca="1">IF(Table1[[#This Row],[Inactive_Date]]="",DATEDIF(Table1[[#This Row],[Date_Acq]],TODAY(),"m"),DATEDIF(Table1[[#This Row],[Date_Acq]],Table1[[#This Row],[Inactive_Date]],"m"))</f>
        <v>33</v>
      </c>
    </row>
    <row r="257" spans="1:26" s="16" customFormat="1" hidden="1" x14ac:dyDescent="0.4">
      <c r="A257" s="6"/>
      <c r="B257" s="7"/>
      <c r="C257" s="4">
        <v>41694</v>
      </c>
      <c r="D257" s="1" t="s">
        <v>477</v>
      </c>
      <c r="E257" s="1" t="s">
        <v>478</v>
      </c>
      <c r="F257" s="1" t="s">
        <v>478</v>
      </c>
      <c r="G257" s="1">
        <v>399.99</v>
      </c>
      <c r="H257" s="21">
        <v>57840</v>
      </c>
      <c r="I257" s="21" t="s">
        <v>13</v>
      </c>
      <c r="J257" s="1" t="s">
        <v>73</v>
      </c>
      <c r="K257" s="1" t="s">
        <v>34</v>
      </c>
      <c r="L257" s="1" t="s">
        <v>35</v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>
        <f ca="1">IF(Table1[[#This Row],[Inactive_Date]]="",DATEDIF(Table1[[#This Row],[Date_Acq]],TODAY(),"m"),DATEDIF(Table1[[#This Row],[Date_Acq]],Table1[[#This Row],[Inactive_Date]],"m"))</f>
        <v>32</v>
      </c>
    </row>
    <row r="258" spans="1:26" s="16" customFormat="1" hidden="1" x14ac:dyDescent="0.4">
      <c r="A258" s="6"/>
      <c r="B258" s="7"/>
      <c r="C258" s="4">
        <v>41716</v>
      </c>
      <c r="D258" s="1" t="s">
        <v>479</v>
      </c>
      <c r="E258" s="1" t="s">
        <v>480</v>
      </c>
      <c r="F258" s="1" t="s">
        <v>480</v>
      </c>
      <c r="G258" s="1">
        <v>324</v>
      </c>
      <c r="H258" s="21">
        <v>53250</v>
      </c>
      <c r="I258" s="21" t="s">
        <v>13</v>
      </c>
      <c r="J258" s="1" t="s">
        <v>38</v>
      </c>
      <c r="K258" s="1" t="s">
        <v>34</v>
      </c>
      <c r="L258" s="1" t="s">
        <v>35</v>
      </c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>
        <f ca="1">IF(Table1[[#This Row],[Inactive_Date]]="",DATEDIF(Table1[[#This Row],[Date_Acq]],TODAY(),"m"),DATEDIF(Table1[[#This Row],[Date_Acq]],Table1[[#This Row],[Inactive_Date]],"m"))</f>
        <v>32</v>
      </c>
    </row>
    <row r="259" spans="1:26" s="16" customFormat="1" x14ac:dyDescent="0.4">
      <c r="A259" s="6"/>
      <c r="B259" s="7"/>
      <c r="C259" s="4">
        <v>41722</v>
      </c>
      <c r="D259" s="1" t="s">
        <v>481</v>
      </c>
      <c r="E259" s="1" t="s">
        <v>482</v>
      </c>
      <c r="F259" s="1" t="s">
        <v>482</v>
      </c>
      <c r="G259" s="1">
        <v>13795.4</v>
      </c>
      <c r="H259" s="21">
        <v>16115</v>
      </c>
      <c r="I259" s="21" t="s">
        <v>13</v>
      </c>
      <c r="J259" s="1" t="s">
        <v>38</v>
      </c>
      <c r="K259" s="1" t="s">
        <v>39</v>
      </c>
      <c r="L259" s="1" t="s">
        <v>35</v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>
        <f ca="1">IF(Table1[[#This Row],[Inactive_Date]]="",DATEDIF(Table1[[#This Row],[Date_Acq]],TODAY(),"m"),DATEDIF(Table1[[#This Row],[Date_Acq]],Table1[[#This Row],[Inactive_Date]],"m"))</f>
        <v>31</v>
      </c>
    </row>
    <row r="260" spans="1:26" s="16" customFormat="1" x14ac:dyDescent="0.4">
      <c r="A260" s="6"/>
      <c r="B260" s="7"/>
      <c r="C260" s="4">
        <v>41722</v>
      </c>
      <c r="D260" s="1" t="s">
        <v>481</v>
      </c>
      <c r="E260" s="1" t="s">
        <v>483</v>
      </c>
      <c r="F260" s="1" t="s">
        <v>483</v>
      </c>
      <c r="G260" s="1">
        <v>1835.4</v>
      </c>
      <c r="H260" s="21">
        <v>16115</v>
      </c>
      <c r="I260" s="21" t="s">
        <v>13</v>
      </c>
      <c r="J260" s="1" t="s">
        <v>38</v>
      </c>
      <c r="K260" s="1" t="s">
        <v>39</v>
      </c>
      <c r="L260" s="1" t="s">
        <v>35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>
        <f ca="1">IF(Table1[[#This Row],[Inactive_Date]]="",DATEDIF(Table1[[#This Row],[Date_Acq]],TODAY(),"m"),DATEDIF(Table1[[#This Row],[Date_Acq]],Table1[[#This Row],[Inactive_Date]],"m"))</f>
        <v>31</v>
      </c>
    </row>
    <row r="261" spans="1:26" s="16" customFormat="1" x14ac:dyDescent="0.4">
      <c r="A261" s="6"/>
      <c r="B261" s="7"/>
      <c r="C261" s="4">
        <v>41722</v>
      </c>
      <c r="D261" s="1" t="s">
        <v>481</v>
      </c>
      <c r="E261" s="1" t="s">
        <v>484</v>
      </c>
      <c r="F261" s="1" t="s">
        <v>484</v>
      </c>
      <c r="G261" s="1">
        <v>2015.95</v>
      </c>
      <c r="H261" s="21">
        <v>16115</v>
      </c>
      <c r="I261" s="21" t="s">
        <v>13</v>
      </c>
      <c r="J261" s="1" t="s">
        <v>38</v>
      </c>
      <c r="K261" s="1" t="s">
        <v>39</v>
      </c>
      <c r="L261" s="1" t="s">
        <v>35</v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>
        <f ca="1">IF(Table1[[#This Row],[Inactive_Date]]="",DATEDIF(Table1[[#This Row],[Date_Acq]],TODAY(),"m"),DATEDIF(Table1[[#This Row],[Date_Acq]],Table1[[#This Row],[Inactive_Date]],"m"))</f>
        <v>31</v>
      </c>
    </row>
    <row r="262" spans="1:26" s="16" customFormat="1" hidden="1" x14ac:dyDescent="0.4">
      <c r="A262" s="6"/>
      <c r="B262" s="7"/>
      <c r="C262" s="4">
        <v>41722</v>
      </c>
      <c r="D262" s="1" t="s">
        <v>327</v>
      </c>
      <c r="E262" s="1" t="s">
        <v>485</v>
      </c>
      <c r="F262" s="1" t="s">
        <v>485</v>
      </c>
      <c r="G262" s="1">
        <v>299.99</v>
      </c>
      <c r="H262" s="21">
        <v>56100</v>
      </c>
      <c r="I262" s="21" t="s">
        <v>13</v>
      </c>
      <c r="J262" s="1" t="s">
        <v>38</v>
      </c>
      <c r="K262" s="1" t="s">
        <v>34</v>
      </c>
      <c r="L262" s="1" t="s">
        <v>35</v>
      </c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>
        <f ca="1">IF(Table1[[#This Row],[Inactive_Date]]="",DATEDIF(Table1[[#This Row],[Date_Acq]],TODAY(),"m"),DATEDIF(Table1[[#This Row],[Date_Acq]],Table1[[#This Row],[Inactive_Date]],"m"))</f>
        <v>31</v>
      </c>
    </row>
    <row r="263" spans="1:26" s="16" customFormat="1" x14ac:dyDescent="0.4">
      <c r="A263" s="6"/>
      <c r="B263" s="7"/>
      <c r="C263" s="4">
        <v>41722</v>
      </c>
      <c r="D263" s="1" t="s">
        <v>481</v>
      </c>
      <c r="E263" s="1" t="s">
        <v>486</v>
      </c>
      <c r="F263" s="1" t="s">
        <v>486</v>
      </c>
      <c r="G263" s="1">
        <v>1690.5</v>
      </c>
      <c r="H263" s="21">
        <v>16115</v>
      </c>
      <c r="I263" s="21" t="s">
        <v>13</v>
      </c>
      <c r="J263" s="1" t="s">
        <v>38</v>
      </c>
      <c r="K263" s="1" t="s">
        <v>39</v>
      </c>
      <c r="L263" s="1" t="s">
        <v>35</v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>
        <f ca="1">IF(Table1[[#This Row],[Inactive_Date]]="",DATEDIF(Table1[[#This Row],[Date_Acq]],TODAY(),"m"),DATEDIF(Table1[[#This Row],[Date_Acq]],Table1[[#This Row],[Inactive_Date]],"m"))</f>
        <v>31</v>
      </c>
    </row>
    <row r="264" spans="1:26" s="16" customFormat="1" x14ac:dyDescent="0.4">
      <c r="A264" s="6"/>
      <c r="B264" s="7"/>
      <c r="C264" s="4">
        <v>41722</v>
      </c>
      <c r="D264" s="1" t="s">
        <v>481</v>
      </c>
      <c r="E264" s="1" t="s">
        <v>486</v>
      </c>
      <c r="F264" s="1" t="s">
        <v>486</v>
      </c>
      <c r="G264" s="1">
        <v>1690.5</v>
      </c>
      <c r="H264" s="21">
        <v>16115</v>
      </c>
      <c r="I264" s="21" t="s">
        <v>13</v>
      </c>
      <c r="J264" s="1" t="s">
        <v>38</v>
      </c>
      <c r="K264" s="1" t="s">
        <v>39</v>
      </c>
      <c r="L264" s="1" t="s">
        <v>35</v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>
        <f ca="1">IF(Table1[[#This Row],[Inactive_Date]]="",DATEDIF(Table1[[#This Row],[Date_Acq]],TODAY(),"m"),DATEDIF(Table1[[#This Row],[Date_Acq]],Table1[[#This Row],[Inactive_Date]],"m"))</f>
        <v>31</v>
      </c>
    </row>
    <row r="265" spans="1:26" s="16" customFormat="1" x14ac:dyDescent="0.4">
      <c r="A265" s="6"/>
      <c r="B265" s="7"/>
      <c r="C265" s="4">
        <v>41722</v>
      </c>
      <c r="D265" s="1" t="s">
        <v>481</v>
      </c>
      <c r="E265" s="1" t="s">
        <v>486</v>
      </c>
      <c r="F265" s="1" t="s">
        <v>486</v>
      </c>
      <c r="G265" s="1">
        <v>1690.5</v>
      </c>
      <c r="H265" s="21">
        <v>16115</v>
      </c>
      <c r="I265" s="21" t="s">
        <v>13</v>
      </c>
      <c r="J265" s="1" t="s">
        <v>38</v>
      </c>
      <c r="K265" s="1" t="s">
        <v>39</v>
      </c>
      <c r="L265" s="1" t="s">
        <v>35</v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>
        <f ca="1">IF(Table1[[#This Row],[Inactive_Date]]="",DATEDIF(Table1[[#This Row],[Date_Acq]],TODAY(),"m"),DATEDIF(Table1[[#This Row],[Date_Acq]],Table1[[#This Row],[Inactive_Date]],"m"))</f>
        <v>31</v>
      </c>
    </row>
    <row r="266" spans="1:26" s="16" customFormat="1" x14ac:dyDescent="0.4">
      <c r="A266" s="6"/>
      <c r="B266" s="7"/>
      <c r="C266" s="4">
        <v>41722</v>
      </c>
      <c r="D266" s="1" t="s">
        <v>481</v>
      </c>
      <c r="E266" s="1" t="s">
        <v>487</v>
      </c>
      <c r="F266" s="1" t="s">
        <v>487</v>
      </c>
      <c r="G266" s="1">
        <v>2410.4</v>
      </c>
      <c r="H266" s="21">
        <v>16115</v>
      </c>
      <c r="I266" s="21" t="s">
        <v>13</v>
      </c>
      <c r="J266" s="1" t="s">
        <v>38</v>
      </c>
      <c r="K266" s="1" t="s">
        <v>39</v>
      </c>
      <c r="L266" s="1" t="s">
        <v>35</v>
      </c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>
        <f ca="1">IF(Table1[[#This Row],[Inactive_Date]]="",DATEDIF(Table1[[#This Row],[Date_Acq]],TODAY(),"m"),DATEDIF(Table1[[#This Row],[Date_Acq]],Table1[[#This Row],[Inactive_Date]],"m"))</f>
        <v>31</v>
      </c>
    </row>
    <row r="267" spans="1:26" s="16" customFormat="1" x14ac:dyDescent="0.4">
      <c r="A267" s="6"/>
      <c r="B267" s="7"/>
      <c r="C267" s="4">
        <v>41722</v>
      </c>
      <c r="D267" s="1" t="s">
        <v>481</v>
      </c>
      <c r="E267" s="1" t="s">
        <v>487</v>
      </c>
      <c r="F267" s="1" t="s">
        <v>487</v>
      </c>
      <c r="G267" s="1">
        <v>2410.4</v>
      </c>
      <c r="H267" s="21">
        <v>16115</v>
      </c>
      <c r="I267" s="21" t="s">
        <v>13</v>
      </c>
      <c r="J267" s="1" t="s">
        <v>38</v>
      </c>
      <c r="K267" s="1" t="s">
        <v>39</v>
      </c>
      <c r="L267" s="1" t="s">
        <v>35</v>
      </c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>
        <f ca="1">IF(Table1[[#This Row],[Inactive_Date]]="",DATEDIF(Table1[[#This Row],[Date_Acq]],TODAY(),"m"),DATEDIF(Table1[[#This Row],[Date_Acq]],Table1[[#This Row],[Inactive_Date]],"m"))</f>
        <v>31</v>
      </c>
    </row>
    <row r="268" spans="1:26" s="16" customFormat="1" x14ac:dyDescent="0.4">
      <c r="A268" s="6"/>
      <c r="B268" s="7"/>
      <c r="C268" s="4">
        <v>41722</v>
      </c>
      <c r="D268" s="1" t="s">
        <v>481</v>
      </c>
      <c r="E268" s="1" t="s">
        <v>487</v>
      </c>
      <c r="F268" s="1" t="s">
        <v>487</v>
      </c>
      <c r="G268" s="1">
        <v>2410.4</v>
      </c>
      <c r="H268" s="21">
        <v>16115</v>
      </c>
      <c r="I268" s="21" t="s">
        <v>13</v>
      </c>
      <c r="J268" s="1" t="s">
        <v>38</v>
      </c>
      <c r="K268" s="1" t="s">
        <v>39</v>
      </c>
      <c r="L268" s="1" t="s">
        <v>35</v>
      </c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>
        <f ca="1">IF(Table1[[#This Row],[Inactive_Date]]="",DATEDIF(Table1[[#This Row],[Date_Acq]],TODAY(),"m"),DATEDIF(Table1[[#This Row],[Date_Acq]],Table1[[#This Row],[Inactive_Date]],"m"))</f>
        <v>31</v>
      </c>
    </row>
    <row r="269" spans="1:26" s="16" customFormat="1" x14ac:dyDescent="0.4">
      <c r="A269" s="6"/>
      <c r="B269" s="7"/>
      <c r="C269" s="4">
        <v>41722</v>
      </c>
      <c r="D269" s="1" t="s">
        <v>481</v>
      </c>
      <c r="E269" s="1" t="s">
        <v>488</v>
      </c>
      <c r="F269" s="1" t="s">
        <v>488</v>
      </c>
      <c r="G269" s="1">
        <v>6288.45</v>
      </c>
      <c r="H269" s="21">
        <v>16115</v>
      </c>
      <c r="I269" s="21" t="s">
        <v>13</v>
      </c>
      <c r="J269" s="1" t="s">
        <v>38</v>
      </c>
      <c r="K269" s="1" t="s">
        <v>39</v>
      </c>
      <c r="L269" s="1" t="s">
        <v>35</v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>
        <f ca="1">IF(Table1[[#This Row],[Inactive_Date]]="",DATEDIF(Table1[[#This Row],[Date_Acq]],TODAY(),"m"),DATEDIF(Table1[[#This Row],[Date_Acq]],Table1[[#This Row],[Inactive_Date]],"m"))</f>
        <v>31</v>
      </c>
    </row>
    <row r="270" spans="1:26" s="16" customFormat="1" x14ac:dyDescent="0.4">
      <c r="A270" s="6"/>
      <c r="B270" s="7"/>
      <c r="C270" s="4">
        <v>41722</v>
      </c>
      <c r="D270" s="1" t="s">
        <v>481</v>
      </c>
      <c r="E270" s="1" t="s">
        <v>489</v>
      </c>
      <c r="F270" s="1" t="s">
        <v>489</v>
      </c>
      <c r="G270" s="1">
        <v>7463.4</v>
      </c>
      <c r="H270" s="21">
        <v>16115</v>
      </c>
      <c r="I270" s="21" t="s">
        <v>13</v>
      </c>
      <c r="J270" s="1" t="s">
        <v>38</v>
      </c>
      <c r="K270" s="1" t="s">
        <v>39</v>
      </c>
      <c r="L270" s="1" t="s">
        <v>35</v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>
        <f ca="1">IF(Table1[[#This Row],[Inactive_Date]]="",DATEDIF(Table1[[#This Row],[Date_Acq]],TODAY(),"m"),DATEDIF(Table1[[#This Row],[Date_Acq]],Table1[[#This Row],[Inactive_Date]],"m"))</f>
        <v>31</v>
      </c>
    </row>
    <row r="271" spans="1:26" s="16" customFormat="1" x14ac:dyDescent="0.4">
      <c r="A271" s="6"/>
      <c r="B271" s="7"/>
      <c r="C271" s="4">
        <v>41722</v>
      </c>
      <c r="D271" s="1" t="s">
        <v>481</v>
      </c>
      <c r="E271" s="1" t="s">
        <v>489</v>
      </c>
      <c r="F271" s="1" t="s">
        <v>489</v>
      </c>
      <c r="G271" s="1">
        <v>7463.4</v>
      </c>
      <c r="H271" s="21">
        <v>16115</v>
      </c>
      <c r="I271" s="21" t="s">
        <v>13</v>
      </c>
      <c r="J271" s="1" t="s">
        <v>38</v>
      </c>
      <c r="K271" s="1" t="s">
        <v>39</v>
      </c>
      <c r="L271" s="1" t="s">
        <v>35</v>
      </c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>
        <f ca="1">IF(Table1[[#This Row],[Inactive_Date]]="",DATEDIF(Table1[[#This Row],[Date_Acq]],TODAY(),"m"),DATEDIF(Table1[[#This Row],[Date_Acq]],Table1[[#This Row],[Inactive_Date]],"m"))</f>
        <v>31</v>
      </c>
    </row>
    <row r="272" spans="1:26" s="16" customFormat="1" x14ac:dyDescent="0.4">
      <c r="A272" s="6"/>
      <c r="B272" s="7"/>
      <c r="C272" s="4">
        <v>41722</v>
      </c>
      <c r="D272" s="1" t="s">
        <v>481</v>
      </c>
      <c r="E272" s="1" t="s">
        <v>489</v>
      </c>
      <c r="F272" s="1" t="s">
        <v>489</v>
      </c>
      <c r="G272" s="1">
        <v>7463.4</v>
      </c>
      <c r="H272" s="21">
        <v>16115</v>
      </c>
      <c r="I272" s="21" t="s">
        <v>13</v>
      </c>
      <c r="J272" s="1" t="s">
        <v>38</v>
      </c>
      <c r="K272" s="1" t="s">
        <v>39</v>
      </c>
      <c r="L272" s="1" t="s">
        <v>35</v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>
        <f ca="1">IF(Table1[[#This Row],[Inactive_Date]]="",DATEDIF(Table1[[#This Row],[Date_Acq]],TODAY(),"m"),DATEDIF(Table1[[#This Row],[Date_Acq]],Table1[[#This Row],[Inactive_Date]],"m"))</f>
        <v>31</v>
      </c>
    </row>
    <row r="273" spans="1:26" s="16" customFormat="1" x14ac:dyDescent="0.4">
      <c r="A273" s="6"/>
      <c r="B273" s="7"/>
      <c r="C273" s="4">
        <v>41722</v>
      </c>
      <c r="D273" s="1" t="s">
        <v>481</v>
      </c>
      <c r="E273" s="1" t="s">
        <v>490</v>
      </c>
      <c r="F273" s="1" t="s">
        <v>490</v>
      </c>
      <c r="G273" s="1">
        <v>2787.6</v>
      </c>
      <c r="H273" s="21">
        <v>16115</v>
      </c>
      <c r="I273" s="21" t="s">
        <v>13</v>
      </c>
      <c r="J273" s="1" t="s">
        <v>38</v>
      </c>
      <c r="K273" s="1" t="s">
        <v>39</v>
      </c>
      <c r="L273" s="1" t="s">
        <v>35</v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>
        <f ca="1">IF(Table1[[#This Row],[Inactive_Date]]="",DATEDIF(Table1[[#This Row],[Date_Acq]],TODAY(),"m"),DATEDIF(Table1[[#This Row],[Date_Acq]],Table1[[#This Row],[Inactive_Date]],"m"))</f>
        <v>31</v>
      </c>
    </row>
    <row r="274" spans="1:26" s="16" customFormat="1" x14ac:dyDescent="0.4">
      <c r="A274" s="6"/>
      <c r="B274" s="7"/>
      <c r="C274" s="4">
        <v>41722</v>
      </c>
      <c r="D274" s="1" t="s">
        <v>481</v>
      </c>
      <c r="E274" s="1" t="s">
        <v>490</v>
      </c>
      <c r="F274" s="1" t="s">
        <v>490</v>
      </c>
      <c r="G274" s="1">
        <v>2787.6</v>
      </c>
      <c r="H274" s="21">
        <v>16115</v>
      </c>
      <c r="I274" s="21" t="s">
        <v>13</v>
      </c>
      <c r="J274" s="1" t="s">
        <v>38</v>
      </c>
      <c r="K274" s="1" t="s">
        <v>39</v>
      </c>
      <c r="L274" s="1" t="s">
        <v>35</v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>
        <f ca="1">IF(Table1[[#This Row],[Inactive_Date]]="",DATEDIF(Table1[[#This Row],[Date_Acq]],TODAY(),"m"),DATEDIF(Table1[[#This Row],[Date_Acq]],Table1[[#This Row],[Inactive_Date]],"m"))</f>
        <v>31</v>
      </c>
    </row>
    <row r="275" spans="1:26" s="16" customFormat="1" x14ac:dyDescent="0.4">
      <c r="A275" s="6"/>
      <c r="B275" s="7"/>
      <c r="C275" s="4">
        <v>41722</v>
      </c>
      <c r="D275" s="1" t="s">
        <v>481</v>
      </c>
      <c r="E275" s="1" t="s">
        <v>490</v>
      </c>
      <c r="F275" s="1" t="s">
        <v>490</v>
      </c>
      <c r="G275" s="1">
        <v>2787.6</v>
      </c>
      <c r="H275" s="21">
        <v>16115</v>
      </c>
      <c r="I275" s="21" t="s">
        <v>13</v>
      </c>
      <c r="J275" s="1" t="s">
        <v>38</v>
      </c>
      <c r="K275" s="1" t="s">
        <v>39</v>
      </c>
      <c r="L275" s="1" t="s">
        <v>35</v>
      </c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>
        <f ca="1">IF(Table1[[#This Row],[Inactive_Date]]="",DATEDIF(Table1[[#This Row],[Date_Acq]],TODAY(),"m"),DATEDIF(Table1[[#This Row],[Date_Acq]],Table1[[#This Row],[Inactive_Date]],"m"))</f>
        <v>31</v>
      </c>
    </row>
    <row r="276" spans="1:26" s="16" customFormat="1" x14ac:dyDescent="0.4">
      <c r="A276" s="6"/>
      <c r="B276" s="7"/>
      <c r="C276" s="4">
        <v>41740</v>
      </c>
      <c r="D276" s="1" t="s">
        <v>481</v>
      </c>
      <c r="E276" s="1" t="s">
        <v>491</v>
      </c>
      <c r="F276" s="1" t="s">
        <v>491</v>
      </c>
      <c r="G276" s="1">
        <v>1195.25</v>
      </c>
      <c r="H276" s="21">
        <v>16115</v>
      </c>
      <c r="I276" s="21" t="s">
        <v>13</v>
      </c>
      <c r="J276" s="1" t="s">
        <v>38</v>
      </c>
      <c r="K276" s="1" t="s">
        <v>39</v>
      </c>
      <c r="L276" s="1" t="s">
        <v>51</v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>
        <f ca="1">IF(Table1[[#This Row],[Inactive_Date]]="",DATEDIF(Table1[[#This Row],[Date_Acq]],TODAY(),"m"),DATEDIF(Table1[[#This Row],[Date_Acq]],Table1[[#This Row],[Inactive_Date]],"m"))</f>
        <v>31</v>
      </c>
    </row>
    <row r="277" spans="1:26" s="16" customFormat="1" x14ac:dyDescent="0.4">
      <c r="A277" s="6"/>
      <c r="B277" s="7"/>
      <c r="C277" s="4">
        <v>41740</v>
      </c>
      <c r="D277" s="1" t="s">
        <v>481</v>
      </c>
      <c r="E277" s="1" t="s">
        <v>492</v>
      </c>
      <c r="F277" s="1" t="s">
        <v>492</v>
      </c>
      <c r="G277" s="1">
        <v>1378.85</v>
      </c>
      <c r="H277" s="21">
        <v>16115</v>
      </c>
      <c r="I277" s="21" t="s">
        <v>13</v>
      </c>
      <c r="J277" s="1" t="s">
        <v>38</v>
      </c>
      <c r="K277" s="1" t="s">
        <v>39</v>
      </c>
      <c r="L277" s="1" t="s">
        <v>51</v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>
        <f ca="1">IF(Table1[[#This Row],[Inactive_Date]]="",DATEDIF(Table1[[#This Row],[Date_Acq]],TODAY(),"m"),DATEDIF(Table1[[#This Row],[Date_Acq]],Table1[[#This Row],[Inactive_Date]],"m"))</f>
        <v>31</v>
      </c>
    </row>
    <row r="278" spans="1:26" s="16" customFormat="1" x14ac:dyDescent="0.4">
      <c r="A278" s="6"/>
      <c r="B278" s="7"/>
      <c r="C278" s="4">
        <v>41740</v>
      </c>
      <c r="D278" s="1" t="s">
        <v>481</v>
      </c>
      <c r="E278" s="1" t="s">
        <v>493</v>
      </c>
      <c r="F278" s="1" t="s">
        <v>493</v>
      </c>
      <c r="G278" s="1">
        <v>2295.4</v>
      </c>
      <c r="H278" s="21">
        <v>16115</v>
      </c>
      <c r="I278" s="21" t="s">
        <v>13</v>
      </c>
      <c r="J278" s="1" t="s">
        <v>38</v>
      </c>
      <c r="K278" s="1" t="s">
        <v>39</v>
      </c>
      <c r="L278" s="1" t="s">
        <v>51</v>
      </c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>
        <f ca="1">IF(Table1[[#This Row],[Inactive_Date]]="",DATEDIF(Table1[[#This Row],[Date_Acq]],TODAY(),"m"),DATEDIF(Table1[[#This Row],[Date_Acq]],Table1[[#This Row],[Inactive_Date]],"m"))</f>
        <v>31</v>
      </c>
    </row>
    <row r="279" spans="1:26" s="16" customFormat="1" x14ac:dyDescent="0.4">
      <c r="A279" s="6"/>
      <c r="B279" s="7"/>
      <c r="C279" s="4">
        <v>41740</v>
      </c>
      <c r="D279" s="1" t="s">
        <v>481</v>
      </c>
      <c r="E279" s="1" t="s">
        <v>494</v>
      </c>
      <c r="F279" s="1" t="s">
        <v>494</v>
      </c>
      <c r="G279" s="1">
        <v>1033.8499999999999</v>
      </c>
      <c r="H279" s="21">
        <v>16115</v>
      </c>
      <c r="I279" s="21" t="s">
        <v>13</v>
      </c>
      <c r="J279" s="1" t="s">
        <v>38</v>
      </c>
      <c r="K279" s="1" t="s">
        <v>39</v>
      </c>
      <c r="L279" s="1" t="s">
        <v>51</v>
      </c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>
        <f ca="1">IF(Table1[[#This Row],[Inactive_Date]]="",DATEDIF(Table1[[#This Row],[Date_Acq]],TODAY(),"m"),DATEDIF(Table1[[#This Row],[Date_Acq]],Table1[[#This Row],[Inactive_Date]],"m"))</f>
        <v>31</v>
      </c>
    </row>
    <row r="280" spans="1:26" s="16" customFormat="1" x14ac:dyDescent="0.4">
      <c r="A280" s="6"/>
      <c r="B280" s="7"/>
      <c r="C280" s="4">
        <v>41740</v>
      </c>
      <c r="D280" s="1" t="s">
        <v>481</v>
      </c>
      <c r="E280" s="1" t="s">
        <v>495</v>
      </c>
      <c r="F280" s="1" t="s">
        <v>495</v>
      </c>
      <c r="G280" s="1">
        <v>1820.5</v>
      </c>
      <c r="H280" s="21">
        <v>16115</v>
      </c>
      <c r="I280" s="21" t="s">
        <v>13</v>
      </c>
      <c r="J280" s="1" t="s">
        <v>38</v>
      </c>
      <c r="K280" s="1" t="s">
        <v>39</v>
      </c>
      <c r="L280" s="1" t="s">
        <v>51</v>
      </c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>
        <f ca="1">IF(Table1[[#This Row],[Inactive_Date]]="",DATEDIF(Table1[[#This Row],[Date_Acq]],TODAY(),"m"),DATEDIF(Table1[[#This Row],[Date_Acq]],Table1[[#This Row],[Inactive_Date]],"m"))</f>
        <v>31</v>
      </c>
    </row>
    <row r="281" spans="1:26" s="16" customFormat="1" x14ac:dyDescent="0.4">
      <c r="A281" s="6"/>
      <c r="B281" s="7"/>
      <c r="C281" s="4">
        <v>41740</v>
      </c>
      <c r="D281" s="1" t="s">
        <v>481</v>
      </c>
      <c r="E281" s="1" t="s">
        <v>495</v>
      </c>
      <c r="F281" s="1" t="s">
        <v>495</v>
      </c>
      <c r="G281" s="1">
        <v>1820.5</v>
      </c>
      <c r="H281" s="21">
        <v>16115</v>
      </c>
      <c r="I281" s="21" t="s">
        <v>13</v>
      </c>
      <c r="J281" s="1" t="s">
        <v>38</v>
      </c>
      <c r="K281" s="1" t="s">
        <v>39</v>
      </c>
      <c r="L281" s="1" t="s">
        <v>51</v>
      </c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>
        <f ca="1">IF(Table1[[#This Row],[Inactive_Date]]="",DATEDIF(Table1[[#This Row],[Date_Acq]],TODAY(),"m"),DATEDIF(Table1[[#This Row],[Date_Acq]],Table1[[#This Row],[Inactive_Date]],"m"))</f>
        <v>31</v>
      </c>
    </row>
    <row r="282" spans="1:26" s="16" customFormat="1" x14ac:dyDescent="0.4">
      <c r="A282" s="6"/>
      <c r="B282" s="7"/>
      <c r="C282" s="4">
        <v>41740</v>
      </c>
      <c r="D282" s="1" t="s">
        <v>481</v>
      </c>
      <c r="E282" s="1" t="s">
        <v>495</v>
      </c>
      <c r="F282" s="1" t="s">
        <v>495</v>
      </c>
      <c r="G282" s="1">
        <v>1820.5</v>
      </c>
      <c r="H282" s="21">
        <v>16115</v>
      </c>
      <c r="I282" s="21" t="s">
        <v>13</v>
      </c>
      <c r="J282" s="1" t="s">
        <v>38</v>
      </c>
      <c r="K282" s="1" t="s">
        <v>39</v>
      </c>
      <c r="L282" s="1" t="s">
        <v>51</v>
      </c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>
        <f ca="1">IF(Table1[[#This Row],[Inactive_Date]]="",DATEDIF(Table1[[#This Row],[Date_Acq]],TODAY(),"m"),DATEDIF(Table1[[#This Row],[Date_Acq]],Table1[[#This Row],[Inactive_Date]],"m"))</f>
        <v>31</v>
      </c>
    </row>
    <row r="283" spans="1:26" s="16" customFormat="1" x14ac:dyDescent="0.4">
      <c r="A283" s="6"/>
      <c r="B283" s="7"/>
      <c r="C283" s="4">
        <v>41740</v>
      </c>
      <c r="D283" s="1" t="s">
        <v>481</v>
      </c>
      <c r="E283" s="1" t="s">
        <v>495</v>
      </c>
      <c r="F283" s="1" t="s">
        <v>495</v>
      </c>
      <c r="G283" s="1">
        <v>1820.5</v>
      </c>
      <c r="H283" s="21">
        <v>16115</v>
      </c>
      <c r="I283" s="21" t="s">
        <v>13</v>
      </c>
      <c r="J283" s="1" t="s">
        <v>38</v>
      </c>
      <c r="K283" s="1" t="s">
        <v>39</v>
      </c>
      <c r="L283" s="1" t="s">
        <v>51</v>
      </c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>
        <f ca="1">IF(Table1[[#This Row],[Inactive_Date]]="",DATEDIF(Table1[[#This Row],[Date_Acq]],TODAY(),"m"),DATEDIF(Table1[[#This Row],[Date_Acq]],Table1[[#This Row],[Inactive_Date]],"m"))</f>
        <v>31</v>
      </c>
    </row>
    <row r="284" spans="1:26" s="16" customFormat="1" x14ac:dyDescent="0.4">
      <c r="A284" s="6"/>
      <c r="B284" s="7"/>
      <c r="C284" s="4">
        <v>41740</v>
      </c>
      <c r="D284" s="1" t="s">
        <v>481</v>
      </c>
      <c r="E284" s="1" t="s">
        <v>496</v>
      </c>
      <c r="F284" s="1" t="s">
        <v>496</v>
      </c>
      <c r="G284" s="1">
        <v>1820.5</v>
      </c>
      <c r="H284" s="21">
        <v>16115</v>
      </c>
      <c r="I284" s="21" t="s">
        <v>13</v>
      </c>
      <c r="J284" s="1" t="s">
        <v>38</v>
      </c>
      <c r="K284" s="1" t="s">
        <v>39</v>
      </c>
      <c r="L284" s="1" t="s">
        <v>51</v>
      </c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>
        <f ca="1">IF(Table1[[#This Row],[Inactive_Date]]="",DATEDIF(Table1[[#This Row],[Date_Acq]],TODAY(),"m"),DATEDIF(Table1[[#This Row],[Date_Acq]],Table1[[#This Row],[Inactive_Date]],"m"))</f>
        <v>31</v>
      </c>
    </row>
    <row r="285" spans="1:26" s="16" customFormat="1" x14ac:dyDescent="0.4">
      <c r="A285" s="6"/>
      <c r="B285" s="7"/>
      <c r="C285" s="4">
        <v>41740</v>
      </c>
      <c r="D285" s="1" t="s">
        <v>481</v>
      </c>
      <c r="E285" s="1" t="s">
        <v>496</v>
      </c>
      <c r="F285" s="1" t="s">
        <v>496</v>
      </c>
      <c r="G285" s="1">
        <v>1820.5</v>
      </c>
      <c r="H285" s="21">
        <v>16115</v>
      </c>
      <c r="I285" s="21" t="s">
        <v>13</v>
      </c>
      <c r="J285" s="1" t="s">
        <v>38</v>
      </c>
      <c r="K285" s="1" t="s">
        <v>39</v>
      </c>
      <c r="L285" s="1" t="s">
        <v>51</v>
      </c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>
        <f ca="1">IF(Table1[[#This Row],[Inactive_Date]]="",DATEDIF(Table1[[#This Row],[Date_Acq]],TODAY(),"m"),DATEDIF(Table1[[#This Row],[Date_Acq]],Table1[[#This Row],[Inactive_Date]],"m"))</f>
        <v>31</v>
      </c>
    </row>
    <row r="286" spans="1:26" s="16" customFormat="1" x14ac:dyDescent="0.4">
      <c r="A286" s="6"/>
      <c r="B286" s="7"/>
      <c r="C286" s="4">
        <v>41740</v>
      </c>
      <c r="D286" s="1" t="s">
        <v>481</v>
      </c>
      <c r="E286" s="1" t="s">
        <v>496</v>
      </c>
      <c r="F286" s="1" t="s">
        <v>496</v>
      </c>
      <c r="G286" s="1">
        <v>1820.5</v>
      </c>
      <c r="H286" s="21">
        <v>16115</v>
      </c>
      <c r="I286" s="21" t="s">
        <v>13</v>
      </c>
      <c r="J286" s="1" t="s">
        <v>38</v>
      </c>
      <c r="K286" s="1" t="s">
        <v>39</v>
      </c>
      <c r="L286" s="1" t="s">
        <v>51</v>
      </c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>
        <f ca="1">IF(Table1[[#This Row],[Inactive_Date]]="",DATEDIF(Table1[[#This Row],[Date_Acq]],TODAY(),"m"),DATEDIF(Table1[[#This Row],[Date_Acq]],Table1[[#This Row],[Inactive_Date]],"m"))</f>
        <v>31</v>
      </c>
    </row>
    <row r="287" spans="1:26" s="16" customFormat="1" x14ac:dyDescent="0.4">
      <c r="A287" s="6"/>
      <c r="B287" s="7"/>
      <c r="C287" s="4">
        <v>41740</v>
      </c>
      <c r="D287" s="1" t="s">
        <v>481</v>
      </c>
      <c r="E287" s="1" t="s">
        <v>496</v>
      </c>
      <c r="F287" s="1" t="s">
        <v>496</v>
      </c>
      <c r="G287" s="1">
        <v>1820.5</v>
      </c>
      <c r="H287" s="21">
        <v>16115</v>
      </c>
      <c r="I287" s="21" t="s">
        <v>13</v>
      </c>
      <c r="J287" s="1" t="s">
        <v>38</v>
      </c>
      <c r="K287" s="1" t="s">
        <v>39</v>
      </c>
      <c r="L287" s="1" t="s">
        <v>51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>
        <f ca="1">IF(Table1[[#This Row],[Inactive_Date]]="",DATEDIF(Table1[[#This Row],[Date_Acq]],TODAY(),"m"),DATEDIF(Table1[[#This Row],[Date_Acq]],Table1[[#This Row],[Inactive_Date]],"m"))</f>
        <v>31</v>
      </c>
    </row>
    <row r="288" spans="1:26" s="16" customFormat="1" x14ac:dyDescent="0.4">
      <c r="A288" s="6"/>
      <c r="B288" s="7"/>
      <c r="C288" s="4">
        <v>41740</v>
      </c>
      <c r="D288" s="1" t="s">
        <v>481</v>
      </c>
      <c r="E288" s="1" t="s">
        <v>497</v>
      </c>
      <c r="F288" s="1" t="s">
        <v>497</v>
      </c>
      <c r="G288" s="1">
        <v>1091.8599999999999</v>
      </c>
      <c r="H288" s="21">
        <v>16115</v>
      </c>
      <c r="I288" s="21" t="s">
        <v>13</v>
      </c>
      <c r="J288" s="1" t="s">
        <v>38</v>
      </c>
      <c r="K288" s="1" t="s">
        <v>39</v>
      </c>
      <c r="L288" s="1" t="s">
        <v>51</v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>
        <f ca="1">IF(Table1[[#This Row],[Inactive_Date]]="",DATEDIF(Table1[[#This Row],[Date_Acq]],TODAY(),"m"),DATEDIF(Table1[[#This Row],[Date_Acq]],Table1[[#This Row],[Inactive_Date]],"m"))</f>
        <v>31</v>
      </c>
    </row>
    <row r="289" spans="1:26" s="16" customFormat="1" x14ac:dyDescent="0.4">
      <c r="A289" s="6"/>
      <c r="B289" s="7"/>
      <c r="C289" s="4">
        <v>41740</v>
      </c>
      <c r="D289" s="1" t="s">
        <v>481</v>
      </c>
      <c r="E289" s="1" t="s">
        <v>497</v>
      </c>
      <c r="F289" s="1" t="s">
        <v>497</v>
      </c>
      <c r="G289" s="1">
        <v>1091.8599999999999</v>
      </c>
      <c r="H289" s="21">
        <v>16115</v>
      </c>
      <c r="I289" s="21" t="s">
        <v>13</v>
      </c>
      <c r="J289" s="1" t="s">
        <v>38</v>
      </c>
      <c r="K289" s="1" t="s">
        <v>39</v>
      </c>
      <c r="L289" s="1" t="s">
        <v>51</v>
      </c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>
        <f ca="1">IF(Table1[[#This Row],[Inactive_Date]]="",DATEDIF(Table1[[#This Row],[Date_Acq]],TODAY(),"m"),DATEDIF(Table1[[#This Row],[Date_Acq]],Table1[[#This Row],[Inactive_Date]],"m"))</f>
        <v>31</v>
      </c>
    </row>
    <row r="290" spans="1:26" s="16" customFormat="1" x14ac:dyDescent="0.4">
      <c r="A290" s="6"/>
      <c r="B290" s="7"/>
      <c r="C290" s="4">
        <v>41740</v>
      </c>
      <c r="D290" s="1" t="s">
        <v>481</v>
      </c>
      <c r="E290" s="1" t="s">
        <v>497</v>
      </c>
      <c r="F290" s="1" t="s">
        <v>497</v>
      </c>
      <c r="G290" s="1">
        <v>1091.8599999999999</v>
      </c>
      <c r="H290" s="21">
        <v>16115</v>
      </c>
      <c r="I290" s="21" t="s">
        <v>13</v>
      </c>
      <c r="J290" s="1" t="s">
        <v>38</v>
      </c>
      <c r="K290" s="1" t="s">
        <v>39</v>
      </c>
      <c r="L290" s="1" t="s">
        <v>51</v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>
        <f ca="1">IF(Table1[[#This Row],[Inactive_Date]]="",DATEDIF(Table1[[#This Row],[Date_Acq]],TODAY(),"m"),DATEDIF(Table1[[#This Row],[Date_Acq]],Table1[[#This Row],[Inactive_Date]],"m"))</f>
        <v>31</v>
      </c>
    </row>
    <row r="291" spans="1:26" s="16" customFormat="1" x14ac:dyDescent="0.4">
      <c r="A291" s="6"/>
      <c r="B291" s="7"/>
      <c r="C291" s="4">
        <v>41740</v>
      </c>
      <c r="D291" s="1" t="s">
        <v>481</v>
      </c>
      <c r="E291" s="1" t="s">
        <v>497</v>
      </c>
      <c r="F291" s="1" t="s">
        <v>497</v>
      </c>
      <c r="G291" s="1">
        <v>1091.8599999999999</v>
      </c>
      <c r="H291" s="21">
        <v>16115</v>
      </c>
      <c r="I291" s="21" t="s">
        <v>13</v>
      </c>
      <c r="J291" s="1" t="s">
        <v>38</v>
      </c>
      <c r="K291" s="1" t="s">
        <v>39</v>
      </c>
      <c r="L291" s="1" t="s">
        <v>51</v>
      </c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>
        <f ca="1">IF(Table1[[#This Row],[Inactive_Date]]="",DATEDIF(Table1[[#This Row],[Date_Acq]],TODAY(),"m"),DATEDIF(Table1[[#This Row],[Date_Acq]],Table1[[#This Row],[Inactive_Date]],"m"))</f>
        <v>31</v>
      </c>
    </row>
    <row r="292" spans="1:26" s="16" customFormat="1" x14ac:dyDescent="0.4">
      <c r="A292" s="6"/>
      <c r="B292" s="7"/>
      <c r="C292" s="4">
        <v>41740</v>
      </c>
      <c r="D292" s="1" t="s">
        <v>481</v>
      </c>
      <c r="E292" s="1" t="s">
        <v>497</v>
      </c>
      <c r="F292" s="1" t="s">
        <v>497</v>
      </c>
      <c r="G292" s="1">
        <v>1091.8599999999999</v>
      </c>
      <c r="H292" s="21">
        <v>16115</v>
      </c>
      <c r="I292" s="21" t="s">
        <v>13</v>
      </c>
      <c r="J292" s="1" t="s">
        <v>38</v>
      </c>
      <c r="K292" s="1" t="s">
        <v>39</v>
      </c>
      <c r="L292" s="1" t="s">
        <v>51</v>
      </c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>
        <f ca="1">IF(Table1[[#This Row],[Inactive_Date]]="",DATEDIF(Table1[[#This Row],[Date_Acq]],TODAY(),"m"),DATEDIF(Table1[[#This Row],[Date_Acq]],Table1[[#This Row],[Inactive_Date]],"m"))</f>
        <v>31</v>
      </c>
    </row>
    <row r="293" spans="1:26" s="16" customFormat="1" x14ac:dyDescent="0.4">
      <c r="A293" s="6"/>
      <c r="B293" s="7"/>
      <c r="C293" s="4">
        <v>41740</v>
      </c>
      <c r="D293" s="1" t="s">
        <v>481</v>
      </c>
      <c r="E293" s="1" t="s">
        <v>497</v>
      </c>
      <c r="F293" s="1" t="s">
        <v>497</v>
      </c>
      <c r="G293" s="1">
        <v>1091.8599999999999</v>
      </c>
      <c r="H293" s="21">
        <v>16115</v>
      </c>
      <c r="I293" s="21" t="s">
        <v>13</v>
      </c>
      <c r="J293" s="1" t="s">
        <v>38</v>
      </c>
      <c r="K293" s="1" t="s">
        <v>39</v>
      </c>
      <c r="L293" s="1" t="s">
        <v>51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>
        <f ca="1">IF(Table1[[#This Row],[Inactive_Date]]="",DATEDIF(Table1[[#This Row],[Date_Acq]],TODAY(),"m"),DATEDIF(Table1[[#This Row],[Date_Acq]],Table1[[#This Row],[Inactive_Date]],"m"))</f>
        <v>31</v>
      </c>
    </row>
    <row r="294" spans="1:26" s="16" customFormat="1" x14ac:dyDescent="0.4">
      <c r="A294" s="6"/>
      <c r="B294" s="7"/>
      <c r="C294" s="4">
        <v>41740</v>
      </c>
      <c r="D294" s="1" t="s">
        <v>481</v>
      </c>
      <c r="E294" s="1" t="s">
        <v>497</v>
      </c>
      <c r="F294" s="1" t="s">
        <v>497</v>
      </c>
      <c r="G294" s="1">
        <v>1091.8599999999999</v>
      </c>
      <c r="H294" s="21">
        <v>16115</v>
      </c>
      <c r="I294" s="21" t="s">
        <v>13</v>
      </c>
      <c r="J294" s="1" t="s">
        <v>38</v>
      </c>
      <c r="K294" s="1" t="s">
        <v>39</v>
      </c>
      <c r="L294" s="1" t="s">
        <v>51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>
        <f ca="1">IF(Table1[[#This Row],[Inactive_Date]]="",DATEDIF(Table1[[#This Row],[Date_Acq]],TODAY(),"m"),DATEDIF(Table1[[#This Row],[Date_Acq]],Table1[[#This Row],[Inactive_Date]],"m"))</f>
        <v>31</v>
      </c>
    </row>
    <row r="295" spans="1:26" s="16" customFormat="1" x14ac:dyDescent="0.4">
      <c r="A295" s="6"/>
      <c r="B295" s="7"/>
      <c r="C295" s="4">
        <v>41740</v>
      </c>
      <c r="D295" s="1" t="s">
        <v>481</v>
      </c>
      <c r="E295" s="1" t="s">
        <v>497</v>
      </c>
      <c r="F295" s="1" t="s">
        <v>497</v>
      </c>
      <c r="G295" s="1">
        <v>1091.8599999999999</v>
      </c>
      <c r="H295" s="21">
        <v>16115</v>
      </c>
      <c r="I295" s="21" t="s">
        <v>13</v>
      </c>
      <c r="J295" s="1" t="s">
        <v>38</v>
      </c>
      <c r="K295" s="1" t="s">
        <v>39</v>
      </c>
      <c r="L295" s="1" t="s">
        <v>51</v>
      </c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>
        <f ca="1">IF(Table1[[#This Row],[Inactive_Date]]="",DATEDIF(Table1[[#This Row],[Date_Acq]],TODAY(),"m"),DATEDIF(Table1[[#This Row],[Date_Acq]],Table1[[#This Row],[Inactive_Date]],"m"))</f>
        <v>31</v>
      </c>
    </row>
    <row r="296" spans="1:26" s="16" customFormat="1" x14ac:dyDescent="0.4">
      <c r="A296" s="6"/>
      <c r="B296" s="7"/>
      <c r="C296" s="4">
        <v>41740</v>
      </c>
      <c r="D296" s="1" t="s">
        <v>481</v>
      </c>
      <c r="E296" s="1" t="s">
        <v>498</v>
      </c>
      <c r="F296" s="1" t="s">
        <v>498</v>
      </c>
      <c r="G296" s="1">
        <v>19721.64</v>
      </c>
      <c r="H296" s="21">
        <v>16115</v>
      </c>
      <c r="I296" s="21" t="s">
        <v>13</v>
      </c>
      <c r="J296" s="1" t="s">
        <v>38</v>
      </c>
      <c r="K296" s="1" t="s">
        <v>39</v>
      </c>
      <c r="L296" s="1" t="s">
        <v>51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>
        <f ca="1">IF(Table1[[#This Row],[Inactive_Date]]="",DATEDIF(Table1[[#This Row],[Date_Acq]],TODAY(),"m"),DATEDIF(Table1[[#This Row],[Date_Acq]],Table1[[#This Row],[Inactive_Date]],"m"))</f>
        <v>31</v>
      </c>
    </row>
    <row r="297" spans="1:26" s="17" customFormat="1" x14ac:dyDescent="0.4">
      <c r="A297" s="6"/>
      <c r="B297" s="7"/>
      <c r="C297" s="4">
        <v>41753</v>
      </c>
      <c r="D297" s="2" t="s">
        <v>499</v>
      </c>
      <c r="E297" s="2" t="s">
        <v>500</v>
      </c>
      <c r="F297" s="2" t="s">
        <v>500</v>
      </c>
      <c r="G297" s="2">
        <v>12995</v>
      </c>
      <c r="H297" s="21">
        <v>58530</v>
      </c>
      <c r="I297" s="21" t="s">
        <v>13</v>
      </c>
      <c r="J297" s="2" t="s">
        <v>46</v>
      </c>
      <c r="K297" s="2" t="s">
        <v>39</v>
      </c>
      <c r="L297" s="2" t="s">
        <v>35</v>
      </c>
      <c r="M297" s="2"/>
      <c r="N297" s="2"/>
      <c r="O297" s="2"/>
      <c r="P297" s="2"/>
      <c r="Q297" s="2"/>
      <c r="R297" s="1"/>
      <c r="S297" s="2"/>
      <c r="T297" s="1"/>
      <c r="U297" s="1"/>
      <c r="V297" s="2"/>
      <c r="W297" s="2"/>
      <c r="X297" s="2"/>
      <c r="Y297" s="2"/>
      <c r="Z297" s="1">
        <f ca="1">IF(Table1[[#This Row],[Inactive_Date]]="",DATEDIF(Table1[[#This Row],[Date_Acq]],TODAY(),"m"),DATEDIF(Table1[[#This Row],[Date_Acq]],Table1[[#This Row],[Inactive_Date]],"m"))</f>
        <v>30</v>
      </c>
    </row>
    <row r="298" spans="1:26" s="17" customFormat="1" x14ac:dyDescent="0.4">
      <c r="A298" s="6"/>
      <c r="B298" s="7"/>
      <c r="C298" s="4">
        <v>41753</v>
      </c>
      <c r="D298" s="2" t="s">
        <v>499</v>
      </c>
      <c r="E298" s="2" t="s">
        <v>501</v>
      </c>
      <c r="F298" s="2" t="s">
        <v>501</v>
      </c>
      <c r="G298" s="2">
        <v>12995</v>
      </c>
      <c r="H298" s="21">
        <v>57550</v>
      </c>
      <c r="I298" s="21" t="s">
        <v>13</v>
      </c>
      <c r="J298" s="2" t="s">
        <v>46</v>
      </c>
      <c r="K298" s="2" t="s">
        <v>39</v>
      </c>
      <c r="L298" s="2" t="s">
        <v>35</v>
      </c>
      <c r="M298" s="2"/>
      <c r="N298" s="2"/>
      <c r="O298" s="2"/>
      <c r="P298" s="2"/>
      <c r="Q298" s="2"/>
      <c r="R298" s="1"/>
      <c r="S298" s="2"/>
      <c r="T298" s="1"/>
      <c r="U298" s="1"/>
      <c r="V298" s="2"/>
      <c r="W298" s="2"/>
      <c r="X298" s="2"/>
      <c r="Y298" s="2"/>
      <c r="Z298" s="1">
        <f ca="1">IF(Table1[[#This Row],[Inactive_Date]]="",DATEDIF(Table1[[#This Row],[Date_Acq]],TODAY(),"m"),DATEDIF(Table1[[#This Row],[Date_Acq]],Table1[[#This Row],[Inactive_Date]],"m"))</f>
        <v>30</v>
      </c>
    </row>
    <row r="299" spans="1:26" s="16" customFormat="1" x14ac:dyDescent="0.4">
      <c r="A299" s="6"/>
      <c r="B299" s="7"/>
      <c r="C299" s="4">
        <v>41766</v>
      </c>
      <c r="D299" s="1" t="s">
        <v>208</v>
      </c>
      <c r="E299" s="1" t="s">
        <v>502</v>
      </c>
      <c r="F299" s="1" t="s">
        <v>502</v>
      </c>
      <c r="G299" s="1">
        <v>1685.99</v>
      </c>
      <c r="H299" s="21">
        <v>54250</v>
      </c>
      <c r="I299" s="21" t="s">
        <v>13</v>
      </c>
      <c r="J299" s="1" t="s">
        <v>38</v>
      </c>
      <c r="K299" s="1" t="s">
        <v>39</v>
      </c>
      <c r="L299" s="1" t="s">
        <v>35</v>
      </c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>
        <f ca="1">IF(Table1[[#This Row],[Inactive_Date]]="",DATEDIF(Table1[[#This Row],[Date_Acq]],TODAY(),"m"),DATEDIF(Table1[[#This Row],[Date_Acq]],Table1[[#This Row],[Inactive_Date]],"m"))</f>
        <v>30</v>
      </c>
    </row>
    <row r="300" spans="1:26" s="16" customFormat="1" hidden="1" x14ac:dyDescent="0.4">
      <c r="A300" s="6"/>
      <c r="B300" s="7"/>
      <c r="C300" s="4">
        <v>41767</v>
      </c>
      <c r="D300" s="1" t="s">
        <v>503</v>
      </c>
      <c r="E300" s="1" t="s">
        <v>504</v>
      </c>
      <c r="F300" s="1" t="s">
        <v>504</v>
      </c>
      <c r="G300" s="1">
        <v>419.85</v>
      </c>
      <c r="H300" s="21">
        <v>56200</v>
      </c>
      <c r="I300" s="21" t="s">
        <v>13</v>
      </c>
      <c r="J300" s="1" t="s">
        <v>38</v>
      </c>
      <c r="K300" s="1" t="s">
        <v>34</v>
      </c>
      <c r="L300" s="1" t="s">
        <v>35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>
        <f ca="1">IF(Table1[[#This Row],[Inactive_Date]]="",DATEDIF(Table1[[#This Row],[Date_Acq]],TODAY(),"m"),DATEDIF(Table1[[#This Row],[Date_Acq]],Table1[[#This Row],[Inactive_Date]],"m"))</f>
        <v>30</v>
      </c>
    </row>
    <row r="301" spans="1:26" s="16" customFormat="1" x14ac:dyDescent="0.4">
      <c r="A301" s="6"/>
      <c r="B301" s="7"/>
      <c r="C301" s="4">
        <v>41772</v>
      </c>
      <c r="D301" s="1" t="s">
        <v>481</v>
      </c>
      <c r="E301" s="1" t="s">
        <v>505</v>
      </c>
      <c r="F301" s="1" t="s">
        <v>505</v>
      </c>
      <c r="G301" s="1">
        <v>1159.17</v>
      </c>
      <c r="H301" s="21">
        <v>16115</v>
      </c>
      <c r="I301" s="21" t="s">
        <v>13</v>
      </c>
      <c r="J301" s="1" t="s">
        <v>38</v>
      </c>
      <c r="K301" s="1" t="s">
        <v>39</v>
      </c>
      <c r="L301" s="1" t="s">
        <v>35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>
        <f ca="1">IF(Table1[[#This Row],[Inactive_Date]]="",DATEDIF(Table1[[#This Row],[Date_Acq]],TODAY(),"m"),DATEDIF(Table1[[#This Row],[Date_Acq]],Table1[[#This Row],[Inactive_Date]],"m"))</f>
        <v>30</v>
      </c>
    </row>
    <row r="302" spans="1:26" s="16" customFormat="1" hidden="1" x14ac:dyDescent="0.4">
      <c r="A302" s="6"/>
      <c r="B302" s="7"/>
      <c r="C302" s="4">
        <v>41773</v>
      </c>
      <c r="D302" s="1" t="s">
        <v>506</v>
      </c>
      <c r="E302" s="1" t="s">
        <v>507</v>
      </c>
      <c r="F302" s="1" t="s">
        <v>507</v>
      </c>
      <c r="G302" s="1">
        <v>499</v>
      </c>
      <c r="H302" s="21">
        <v>56100</v>
      </c>
      <c r="I302" s="21" t="s">
        <v>13</v>
      </c>
      <c r="J302" s="1" t="s">
        <v>38</v>
      </c>
      <c r="K302" s="1" t="s">
        <v>34</v>
      </c>
      <c r="L302" s="1" t="s">
        <v>35</v>
      </c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>
        <f ca="1">IF(Table1[[#This Row],[Inactive_Date]]="",DATEDIF(Table1[[#This Row],[Date_Acq]],TODAY(),"m"),DATEDIF(Table1[[#This Row],[Date_Acq]],Table1[[#This Row],[Inactive_Date]],"m"))</f>
        <v>30</v>
      </c>
    </row>
    <row r="303" spans="1:26" s="16" customFormat="1" hidden="1" x14ac:dyDescent="0.4">
      <c r="A303" s="6"/>
      <c r="B303" s="7"/>
      <c r="C303" s="4">
        <v>41778</v>
      </c>
      <c r="D303" s="1" t="s">
        <v>248</v>
      </c>
      <c r="E303" s="1" t="s">
        <v>508</v>
      </c>
      <c r="F303" s="1" t="s">
        <v>508</v>
      </c>
      <c r="G303" s="1">
        <v>699</v>
      </c>
      <c r="H303" s="21">
        <v>57590</v>
      </c>
      <c r="I303" s="21" t="s">
        <v>13</v>
      </c>
      <c r="J303" s="1" t="s">
        <v>509</v>
      </c>
      <c r="K303" s="1" t="s">
        <v>34</v>
      </c>
      <c r="L303" s="1" t="s">
        <v>35</v>
      </c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>
        <f ca="1">IF(Table1[[#This Row],[Inactive_Date]]="",DATEDIF(Table1[[#This Row],[Date_Acq]],TODAY(),"m"),DATEDIF(Table1[[#This Row],[Date_Acq]],Table1[[#This Row],[Inactive_Date]],"m"))</f>
        <v>30</v>
      </c>
    </row>
    <row r="304" spans="1:26" s="17" customFormat="1" x14ac:dyDescent="0.4">
      <c r="A304" s="6"/>
      <c r="B304" s="7"/>
      <c r="C304" s="4">
        <v>41778</v>
      </c>
      <c r="D304" s="2" t="s">
        <v>306</v>
      </c>
      <c r="E304" s="2" t="s">
        <v>510</v>
      </c>
      <c r="F304" s="2" t="s">
        <v>510</v>
      </c>
      <c r="G304" s="2">
        <v>1839</v>
      </c>
      <c r="H304" s="21">
        <v>57520</v>
      </c>
      <c r="I304" s="21" t="s">
        <v>13</v>
      </c>
      <c r="J304" s="2" t="s">
        <v>46</v>
      </c>
      <c r="K304" s="2" t="s">
        <v>39</v>
      </c>
      <c r="L304" s="2" t="s">
        <v>35</v>
      </c>
      <c r="M304" s="2"/>
      <c r="N304" s="2"/>
      <c r="O304" s="2"/>
      <c r="P304" s="2" t="s">
        <v>511</v>
      </c>
      <c r="Q304" s="2"/>
      <c r="R304" s="1"/>
      <c r="S304" s="2"/>
      <c r="T304" s="1"/>
      <c r="U304" s="1"/>
      <c r="V304" s="2"/>
      <c r="W304" s="2"/>
      <c r="X304" s="2"/>
      <c r="Y304" s="2"/>
      <c r="Z304" s="1">
        <f ca="1">IF(Table1[[#This Row],[Inactive_Date]]="",DATEDIF(Table1[[#This Row],[Date_Acq]],TODAY(),"m"),DATEDIF(Table1[[#This Row],[Date_Acq]],Table1[[#This Row],[Inactive_Date]],"m"))</f>
        <v>30</v>
      </c>
    </row>
    <row r="305" spans="1:26" s="16" customFormat="1" hidden="1" x14ac:dyDescent="0.4">
      <c r="A305" s="6"/>
      <c r="B305" s="7"/>
      <c r="C305" s="4">
        <v>41784</v>
      </c>
      <c r="D305" s="1" t="s">
        <v>512</v>
      </c>
      <c r="E305" s="1" t="s">
        <v>513</v>
      </c>
      <c r="F305" s="1" t="s">
        <v>513</v>
      </c>
      <c r="G305" s="1">
        <v>429</v>
      </c>
      <c r="H305" s="21">
        <v>56250</v>
      </c>
      <c r="I305" s="21" t="s">
        <v>13</v>
      </c>
      <c r="J305" s="1" t="s">
        <v>38</v>
      </c>
      <c r="K305" s="1" t="s">
        <v>34</v>
      </c>
      <c r="L305" s="1" t="s">
        <v>35</v>
      </c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>
        <f ca="1">IF(Table1[[#This Row],[Inactive_Date]]="",DATEDIF(Table1[[#This Row],[Date_Acq]],TODAY(),"m"),DATEDIF(Table1[[#This Row],[Date_Acq]],Table1[[#This Row],[Inactive_Date]],"m"))</f>
        <v>29</v>
      </c>
    </row>
    <row r="306" spans="1:26" s="16" customFormat="1" hidden="1" x14ac:dyDescent="0.4">
      <c r="A306" s="6"/>
      <c r="B306" s="7"/>
      <c r="C306" s="4">
        <v>41788</v>
      </c>
      <c r="D306" s="1" t="s">
        <v>208</v>
      </c>
      <c r="E306" s="1" t="s">
        <v>514</v>
      </c>
      <c r="F306" s="1" t="s">
        <v>514</v>
      </c>
      <c r="G306" s="1">
        <v>818.99</v>
      </c>
      <c r="H306" s="21">
        <v>54250</v>
      </c>
      <c r="I306" s="21" t="s">
        <v>13</v>
      </c>
      <c r="J306" s="1" t="s">
        <v>38</v>
      </c>
      <c r="K306" s="1" t="s">
        <v>34</v>
      </c>
      <c r="L306" s="1" t="s">
        <v>35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>
        <f ca="1">IF(Table1[[#This Row],[Inactive_Date]]="",DATEDIF(Table1[[#This Row],[Date_Acq]],TODAY(),"m"),DATEDIF(Table1[[#This Row],[Date_Acq]],Table1[[#This Row],[Inactive_Date]],"m"))</f>
        <v>29</v>
      </c>
    </row>
    <row r="307" spans="1:26" s="16" customFormat="1" hidden="1" x14ac:dyDescent="0.4">
      <c r="A307" s="6"/>
      <c r="B307" s="7"/>
      <c r="C307" s="4">
        <v>41790</v>
      </c>
      <c r="D307" s="1" t="s">
        <v>515</v>
      </c>
      <c r="E307" s="1" t="s">
        <v>516</v>
      </c>
      <c r="F307" s="1" t="s">
        <v>516</v>
      </c>
      <c r="G307" s="1">
        <v>439.99</v>
      </c>
      <c r="H307" s="21">
        <v>56250</v>
      </c>
      <c r="I307" s="21" t="s">
        <v>13</v>
      </c>
      <c r="J307" s="1" t="s">
        <v>38</v>
      </c>
      <c r="K307" s="1" t="s">
        <v>34</v>
      </c>
      <c r="L307" s="1" t="s">
        <v>35</v>
      </c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>
        <f ca="1">IF(Table1[[#This Row],[Inactive_Date]]="",DATEDIF(Table1[[#This Row],[Date_Acq]],TODAY(),"m"),DATEDIF(Table1[[#This Row],[Date_Acq]],Table1[[#This Row],[Inactive_Date]],"m"))</f>
        <v>29</v>
      </c>
    </row>
    <row r="308" spans="1:26" s="17" customFormat="1" hidden="1" x14ac:dyDescent="0.4">
      <c r="A308" s="6"/>
      <c r="B308" s="7"/>
      <c r="C308" s="4">
        <v>41791</v>
      </c>
      <c r="D308" s="2" t="s">
        <v>517</v>
      </c>
      <c r="E308" s="2" t="s">
        <v>518</v>
      </c>
      <c r="F308" s="2" t="s">
        <v>519</v>
      </c>
      <c r="G308" s="2">
        <v>300</v>
      </c>
      <c r="H308" s="21">
        <v>57520</v>
      </c>
      <c r="I308" s="21" t="s">
        <v>108</v>
      </c>
      <c r="J308" s="2" t="s">
        <v>46</v>
      </c>
      <c r="K308" s="2" t="s">
        <v>34</v>
      </c>
      <c r="L308" s="2" t="s">
        <v>35</v>
      </c>
      <c r="M308" s="2"/>
      <c r="N308" s="2" t="s">
        <v>454</v>
      </c>
      <c r="O308" s="2" t="s">
        <v>520</v>
      </c>
      <c r="P308" s="2" t="s">
        <v>521</v>
      </c>
      <c r="Q308" s="2" t="s">
        <v>474</v>
      </c>
      <c r="R308" s="1">
        <v>3</v>
      </c>
      <c r="S308" s="2"/>
      <c r="T308" s="1" t="s">
        <v>410</v>
      </c>
      <c r="U308" s="1"/>
      <c r="V308" s="2"/>
      <c r="W308" s="2"/>
      <c r="X308" s="2"/>
      <c r="Y308" s="2"/>
      <c r="Z308" s="1">
        <f ca="1">IF(Table1[[#This Row],[Inactive_Date]]="",DATEDIF(Table1[[#This Row],[Date_Acq]],TODAY(),"m"),DATEDIF(Table1[[#This Row],[Date_Acq]],Table1[[#This Row],[Inactive_Date]],"m"))</f>
        <v>29</v>
      </c>
    </row>
    <row r="309" spans="1:26" s="16" customFormat="1" hidden="1" x14ac:dyDescent="0.4">
      <c r="A309" s="6"/>
      <c r="B309" s="7"/>
      <c r="C309" s="4">
        <v>41792</v>
      </c>
      <c r="D309" s="1">
        <v>56250</v>
      </c>
      <c r="E309" s="1" t="s">
        <v>522</v>
      </c>
      <c r="F309" s="1" t="s">
        <v>522</v>
      </c>
      <c r="G309" s="1">
        <v>464.99</v>
      </c>
      <c r="H309" s="21">
        <v>56250</v>
      </c>
      <c r="I309" s="21" t="s">
        <v>13</v>
      </c>
      <c r="J309" s="1" t="s">
        <v>38</v>
      </c>
      <c r="K309" s="1" t="s">
        <v>34</v>
      </c>
      <c r="L309" s="1" t="s">
        <v>35</v>
      </c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>
        <f ca="1">IF(Table1[[#This Row],[Inactive_Date]]="",DATEDIF(Table1[[#This Row],[Date_Acq]],TODAY(),"m"),DATEDIF(Table1[[#This Row],[Date_Acq]],Table1[[#This Row],[Inactive_Date]],"m"))</f>
        <v>29</v>
      </c>
    </row>
    <row r="310" spans="1:26" s="16" customFormat="1" hidden="1" x14ac:dyDescent="0.4">
      <c r="A310" s="6"/>
      <c r="B310" s="7"/>
      <c r="C310" s="4">
        <v>41800</v>
      </c>
      <c r="D310" s="1" t="s">
        <v>301</v>
      </c>
      <c r="E310" s="1" t="s">
        <v>523</v>
      </c>
      <c r="F310" s="1" t="s">
        <v>523</v>
      </c>
      <c r="G310" s="1">
        <v>359.99</v>
      </c>
      <c r="H310" s="21">
        <v>56150</v>
      </c>
      <c r="I310" s="21" t="s">
        <v>13</v>
      </c>
      <c r="J310" s="1" t="s">
        <v>38</v>
      </c>
      <c r="K310" s="1" t="s">
        <v>34</v>
      </c>
      <c r="L310" s="1" t="s">
        <v>35</v>
      </c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>
        <f ca="1">IF(Table1[[#This Row],[Inactive_Date]]="",DATEDIF(Table1[[#This Row],[Date_Acq]],TODAY(),"m"),DATEDIF(Table1[[#This Row],[Date_Acq]],Table1[[#This Row],[Inactive_Date]],"m"))</f>
        <v>29</v>
      </c>
    </row>
    <row r="311" spans="1:26" s="16" customFormat="1" hidden="1" x14ac:dyDescent="0.4">
      <c r="A311" s="6"/>
      <c r="B311" s="7"/>
      <c r="C311" s="4">
        <v>41820</v>
      </c>
      <c r="D311" s="1" t="s">
        <v>177</v>
      </c>
      <c r="E311" s="1" t="s">
        <v>524</v>
      </c>
      <c r="F311" s="1" t="s">
        <v>525</v>
      </c>
      <c r="G311" s="1">
        <v>219.99</v>
      </c>
      <c r="H311" s="21">
        <v>57610</v>
      </c>
      <c r="I311" s="21" t="s">
        <v>13</v>
      </c>
      <c r="J311" s="1" t="s">
        <v>55</v>
      </c>
      <c r="K311" s="1" t="s">
        <v>34</v>
      </c>
      <c r="L311" s="1" t="s">
        <v>35</v>
      </c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>
        <f ca="1">IF(Table1[[#This Row],[Inactive_Date]]="",DATEDIF(Table1[[#This Row],[Date_Acq]],TODAY(),"m"),DATEDIF(Table1[[#This Row],[Date_Acq]],Table1[[#This Row],[Inactive_Date]],"m"))</f>
        <v>28</v>
      </c>
    </row>
    <row r="312" spans="1:26" s="16" customFormat="1" hidden="1" x14ac:dyDescent="0.4">
      <c r="A312" s="6"/>
      <c r="B312" s="7"/>
      <c r="C312" s="4">
        <v>41831</v>
      </c>
      <c r="D312" s="1" t="s">
        <v>301</v>
      </c>
      <c r="E312" s="1" t="s">
        <v>526</v>
      </c>
      <c r="F312" s="1" t="s">
        <v>526</v>
      </c>
      <c r="G312" s="1">
        <v>253.41</v>
      </c>
      <c r="H312" s="21">
        <v>70190</v>
      </c>
      <c r="I312" s="21" t="s">
        <v>13</v>
      </c>
      <c r="J312" s="1" t="s">
        <v>527</v>
      </c>
      <c r="K312" s="1" t="s">
        <v>34</v>
      </c>
      <c r="L312" s="1" t="s">
        <v>528</v>
      </c>
      <c r="M312" s="1"/>
      <c r="N312" s="1" t="s">
        <v>529</v>
      </c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>
        <f ca="1">IF(Table1[[#This Row],[Inactive_Date]]="",DATEDIF(Table1[[#This Row],[Date_Acq]],TODAY(),"m"),DATEDIF(Table1[[#This Row],[Date_Acq]],Table1[[#This Row],[Inactive_Date]],"m"))</f>
        <v>28</v>
      </c>
    </row>
    <row r="313" spans="1:26" s="17" customFormat="1" x14ac:dyDescent="0.4">
      <c r="A313" s="6"/>
      <c r="B313" s="7"/>
      <c r="C313" s="4">
        <v>41834</v>
      </c>
      <c r="D313" s="2" t="s">
        <v>306</v>
      </c>
      <c r="E313" s="2" t="s">
        <v>530</v>
      </c>
      <c r="F313" s="2" t="s">
        <v>530</v>
      </c>
      <c r="G313" s="2">
        <v>1195</v>
      </c>
      <c r="H313" s="21">
        <v>57520</v>
      </c>
      <c r="I313" s="21" t="s">
        <v>13</v>
      </c>
      <c r="J313" s="2" t="s">
        <v>46</v>
      </c>
      <c r="K313" s="2" t="s">
        <v>39</v>
      </c>
      <c r="L313" s="2" t="s">
        <v>35</v>
      </c>
      <c r="M313" s="2"/>
      <c r="N313" s="2"/>
      <c r="O313" s="2"/>
      <c r="P313" s="2" t="s">
        <v>531</v>
      </c>
      <c r="Q313" s="2"/>
      <c r="R313" s="1"/>
      <c r="S313" s="2"/>
      <c r="T313" s="1"/>
      <c r="U313" s="1"/>
      <c r="V313" s="2"/>
      <c r="W313" s="2"/>
      <c r="X313" s="2"/>
      <c r="Y313" s="2"/>
      <c r="Z313" s="1">
        <f ca="1">IF(Table1[[#This Row],[Inactive_Date]]="",DATEDIF(Table1[[#This Row],[Date_Acq]],TODAY(),"m"),DATEDIF(Table1[[#This Row],[Date_Acq]],Table1[[#This Row],[Inactive_Date]],"m"))</f>
        <v>28</v>
      </c>
    </row>
    <row r="314" spans="1:26" s="16" customFormat="1" hidden="1" x14ac:dyDescent="0.4">
      <c r="A314" s="6"/>
      <c r="B314" s="7"/>
      <c r="C314" s="4">
        <v>41834</v>
      </c>
      <c r="D314" s="1" t="s">
        <v>301</v>
      </c>
      <c r="E314" s="1" t="s">
        <v>532</v>
      </c>
      <c r="F314" s="1" t="s">
        <v>532</v>
      </c>
      <c r="G314" s="1">
        <v>999</v>
      </c>
      <c r="H314" s="21">
        <v>70190</v>
      </c>
      <c r="I314" s="21" t="s">
        <v>13</v>
      </c>
      <c r="J314" s="1" t="s">
        <v>527</v>
      </c>
      <c r="K314" s="1" t="s">
        <v>34</v>
      </c>
      <c r="L314" s="1" t="s">
        <v>528</v>
      </c>
      <c r="M314" s="1"/>
      <c r="N314" s="1" t="s">
        <v>533</v>
      </c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>
        <f ca="1">IF(Table1[[#This Row],[Inactive_Date]]="",DATEDIF(Table1[[#This Row],[Date_Acq]],TODAY(),"m"),DATEDIF(Table1[[#This Row],[Date_Acq]],Table1[[#This Row],[Inactive_Date]],"m"))</f>
        <v>28</v>
      </c>
    </row>
    <row r="315" spans="1:26" s="16" customFormat="1" hidden="1" x14ac:dyDescent="0.4">
      <c r="A315" s="6"/>
      <c r="B315" s="7"/>
      <c r="C315" s="4">
        <v>41849</v>
      </c>
      <c r="D315" s="1" t="s">
        <v>301</v>
      </c>
      <c r="E315" s="1" t="s">
        <v>534</v>
      </c>
      <c r="F315" s="1" t="s">
        <v>534</v>
      </c>
      <c r="G315" s="1">
        <v>299</v>
      </c>
      <c r="H315" s="21">
        <v>56300</v>
      </c>
      <c r="I315" s="21" t="s">
        <v>13</v>
      </c>
      <c r="J315" s="1" t="s">
        <v>38</v>
      </c>
      <c r="K315" s="1" t="s">
        <v>34</v>
      </c>
      <c r="L315" s="1" t="s">
        <v>35</v>
      </c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>
        <f ca="1">IF(Table1[[#This Row],[Inactive_Date]]="",DATEDIF(Table1[[#This Row],[Date_Acq]],TODAY(),"m"),DATEDIF(Table1[[#This Row],[Date_Acq]],Table1[[#This Row],[Inactive_Date]],"m"))</f>
        <v>27</v>
      </c>
    </row>
    <row r="316" spans="1:26" s="16" customFormat="1" hidden="1" x14ac:dyDescent="0.4">
      <c r="A316" s="6"/>
      <c r="B316" s="7"/>
      <c r="C316" s="4">
        <v>41850</v>
      </c>
      <c r="D316" s="1" t="s">
        <v>301</v>
      </c>
      <c r="E316" s="1" t="s">
        <v>535</v>
      </c>
      <c r="F316" s="1" t="s">
        <v>535</v>
      </c>
      <c r="G316" s="1">
        <v>294.97000000000003</v>
      </c>
      <c r="H316" s="21">
        <v>57580</v>
      </c>
      <c r="I316" s="21" t="s">
        <v>13</v>
      </c>
      <c r="J316" s="1" t="s">
        <v>38</v>
      </c>
      <c r="K316" s="1" t="s">
        <v>34</v>
      </c>
      <c r="L316" s="1" t="s">
        <v>35</v>
      </c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>
        <f ca="1">IF(Table1[[#This Row],[Inactive_Date]]="",DATEDIF(Table1[[#This Row],[Date_Acq]],TODAY(),"m"),DATEDIF(Table1[[#This Row],[Date_Acq]],Table1[[#This Row],[Inactive_Date]],"m"))</f>
        <v>27</v>
      </c>
    </row>
    <row r="317" spans="1:26" s="16" customFormat="1" hidden="1" x14ac:dyDescent="0.4">
      <c r="A317" s="6"/>
      <c r="B317" s="7"/>
      <c r="C317" s="4">
        <v>41856</v>
      </c>
      <c r="D317" s="1" t="s">
        <v>301</v>
      </c>
      <c r="E317" s="1" t="s">
        <v>536</v>
      </c>
      <c r="F317" s="1" t="s">
        <v>536</v>
      </c>
      <c r="G317" s="1">
        <v>310</v>
      </c>
      <c r="H317" s="21">
        <v>56300</v>
      </c>
      <c r="I317" s="21" t="s">
        <v>13</v>
      </c>
      <c r="J317" s="1" t="s">
        <v>38</v>
      </c>
      <c r="K317" s="1" t="s">
        <v>34</v>
      </c>
      <c r="L317" s="1" t="s">
        <v>35</v>
      </c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>
        <f ca="1">IF(Table1[[#This Row],[Inactive_Date]]="",DATEDIF(Table1[[#This Row],[Date_Acq]],TODAY(),"m"),DATEDIF(Table1[[#This Row],[Date_Acq]],Table1[[#This Row],[Inactive_Date]],"m"))</f>
        <v>27</v>
      </c>
    </row>
    <row r="318" spans="1:26" s="16" customFormat="1" hidden="1" x14ac:dyDescent="0.4">
      <c r="A318" s="6"/>
      <c r="B318" s="7"/>
      <c r="C318" s="4">
        <v>41878</v>
      </c>
      <c r="D318" s="1" t="s">
        <v>301</v>
      </c>
      <c r="E318" s="1" t="s">
        <v>537</v>
      </c>
      <c r="F318" s="1" t="s">
        <v>537</v>
      </c>
      <c r="G318" s="1">
        <v>323.52</v>
      </c>
      <c r="H318" s="21">
        <v>58660</v>
      </c>
      <c r="I318" s="21" t="s">
        <v>13</v>
      </c>
      <c r="J318" s="1"/>
      <c r="K318" s="1" t="s">
        <v>34</v>
      </c>
      <c r="L318" s="1" t="s">
        <v>51</v>
      </c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>
        <f ca="1">IF(Table1[[#This Row],[Inactive_Date]]="",DATEDIF(Table1[[#This Row],[Date_Acq]],TODAY(),"m"),DATEDIF(Table1[[#This Row],[Date_Acq]],Table1[[#This Row],[Inactive_Date]],"m"))</f>
        <v>26</v>
      </c>
    </row>
    <row r="319" spans="1:26" s="16" customFormat="1" hidden="1" x14ac:dyDescent="0.4">
      <c r="A319" s="6"/>
      <c r="B319" s="7"/>
      <c r="C319" s="4">
        <v>41890</v>
      </c>
      <c r="D319" s="1" t="s">
        <v>301</v>
      </c>
      <c r="E319" s="1" t="s">
        <v>538</v>
      </c>
      <c r="F319" s="1" t="s">
        <v>538</v>
      </c>
      <c r="G319" s="1">
        <v>453.99</v>
      </c>
      <c r="H319" s="21">
        <v>56250</v>
      </c>
      <c r="I319" s="21" t="s">
        <v>13</v>
      </c>
      <c r="J319" s="1" t="s">
        <v>38</v>
      </c>
      <c r="K319" s="1" t="s">
        <v>34</v>
      </c>
      <c r="L319" s="1" t="s">
        <v>35</v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>
        <f ca="1">IF(Table1[[#This Row],[Inactive_Date]]="",DATEDIF(Table1[[#This Row],[Date_Acq]],TODAY(),"m"),DATEDIF(Table1[[#This Row],[Date_Acq]],Table1[[#This Row],[Inactive_Date]],"m"))</f>
        <v>26</v>
      </c>
    </row>
    <row r="320" spans="1:26" s="16" customFormat="1" hidden="1" x14ac:dyDescent="0.4">
      <c r="A320" s="6"/>
      <c r="B320" s="7"/>
      <c r="C320" s="4">
        <v>41891</v>
      </c>
      <c r="D320" s="1" t="s">
        <v>437</v>
      </c>
      <c r="E320" s="1" t="s">
        <v>539</v>
      </c>
      <c r="F320" s="1" t="s">
        <v>539</v>
      </c>
      <c r="G320" s="1">
        <v>239.9</v>
      </c>
      <c r="H320" s="21">
        <v>57920</v>
      </c>
      <c r="I320" s="21" t="s">
        <v>13</v>
      </c>
      <c r="J320" s="1" t="s">
        <v>73</v>
      </c>
      <c r="K320" s="1" t="s">
        <v>34</v>
      </c>
      <c r="L320" s="1" t="s">
        <v>35</v>
      </c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>
        <f ca="1">IF(Table1[[#This Row],[Inactive_Date]]="",DATEDIF(Table1[[#This Row],[Date_Acq]],TODAY(),"m"),DATEDIF(Table1[[#This Row],[Date_Acq]],Table1[[#This Row],[Inactive_Date]],"m"))</f>
        <v>26</v>
      </c>
    </row>
    <row r="321" spans="1:26" s="16" customFormat="1" hidden="1" x14ac:dyDescent="0.4">
      <c r="A321" s="6"/>
      <c r="B321" s="7"/>
      <c r="C321" s="4">
        <v>41893</v>
      </c>
      <c r="D321" s="1" t="s">
        <v>257</v>
      </c>
      <c r="E321" s="1" t="s">
        <v>540</v>
      </c>
      <c r="F321" s="1" t="s">
        <v>540</v>
      </c>
      <c r="G321" s="1">
        <v>319.95999999999998</v>
      </c>
      <c r="H321" s="21">
        <v>57520</v>
      </c>
      <c r="I321" s="21" t="s">
        <v>13</v>
      </c>
      <c r="J321" s="1" t="s">
        <v>527</v>
      </c>
      <c r="K321" s="1" t="s">
        <v>34</v>
      </c>
      <c r="L321" s="1" t="s">
        <v>528</v>
      </c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>
        <f ca="1">IF(Table1[[#This Row],[Inactive_Date]]="",DATEDIF(Table1[[#This Row],[Date_Acq]],TODAY(),"m"),DATEDIF(Table1[[#This Row],[Date_Acq]],Table1[[#This Row],[Inactive_Date]],"m"))</f>
        <v>26</v>
      </c>
    </row>
    <row r="322" spans="1:26" s="17" customFormat="1" hidden="1" x14ac:dyDescent="0.4">
      <c r="A322" s="6"/>
      <c r="B322" s="7"/>
      <c r="C322" s="4">
        <v>41893</v>
      </c>
      <c r="D322" s="2" t="s">
        <v>257</v>
      </c>
      <c r="E322" s="2" t="s">
        <v>540</v>
      </c>
      <c r="F322" s="2" t="s">
        <v>541</v>
      </c>
      <c r="G322" s="2">
        <v>319.95999999999998</v>
      </c>
      <c r="H322" s="21">
        <v>57520</v>
      </c>
      <c r="I322" s="21" t="s">
        <v>13</v>
      </c>
      <c r="J322" s="2" t="s">
        <v>46</v>
      </c>
      <c r="K322" s="2" t="s">
        <v>34</v>
      </c>
      <c r="L322" s="2" t="s">
        <v>35</v>
      </c>
      <c r="M322" s="2"/>
      <c r="N322" s="2"/>
      <c r="O322" s="2"/>
      <c r="P322" s="2"/>
      <c r="Q322" s="2"/>
      <c r="R322" s="1"/>
      <c r="S322" s="2"/>
      <c r="T322" s="1"/>
      <c r="U322" s="1"/>
      <c r="V322" s="2"/>
      <c r="W322" s="2"/>
      <c r="X322" s="2"/>
      <c r="Y322" s="2"/>
      <c r="Z322" s="1">
        <f ca="1">IF(Table1[[#This Row],[Inactive_Date]]="",DATEDIF(Table1[[#This Row],[Date_Acq]],TODAY(),"m"),DATEDIF(Table1[[#This Row],[Date_Acq]],Table1[[#This Row],[Inactive_Date]],"m"))</f>
        <v>26</v>
      </c>
    </row>
    <row r="323" spans="1:26" s="17" customFormat="1" x14ac:dyDescent="0.4">
      <c r="A323" s="6"/>
      <c r="B323" s="7"/>
      <c r="C323" s="4">
        <v>41893</v>
      </c>
      <c r="D323" s="2" t="s">
        <v>306</v>
      </c>
      <c r="E323" s="2" t="s">
        <v>542</v>
      </c>
      <c r="F323" s="2" t="s">
        <v>542</v>
      </c>
      <c r="G323" s="2">
        <v>1195</v>
      </c>
      <c r="H323" s="21">
        <v>57520</v>
      </c>
      <c r="I323" s="21" t="s">
        <v>13</v>
      </c>
      <c r="J323" s="2" t="s">
        <v>46</v>
      </c>
      <c r="K323" s="2" t="s">
        <v>39</v>
      </c>
      <c r="L323" s="2" t="s">
        <v>35</v>
      </c>
      <c r="M323" s="2"/>
      <c r="N323" s="2"/>
      <c r="O323" s="2"/>
      <c r="P323" s="2"/>
      <c r="Q323" s="2"/>
      <c r="R323" s="1"/>
      <c r="S323" s="2"/>
      <c r="T323" s="1"/>
      <c r="U323" s="1"/>
      <c r="V323" s="2"/>
      <c r="W323" s="2"/>
      <c r="X323" s="2"/>
      <c r="Y323" s="2"/>
      <c r="Z323" s="1">
        <f ca="1">IF(Table1[[#This Row],[Inactive_Date]]="",DATEDIF(Table1[[#This Row],[Date_Acq]],TODAY(),"m"),DATEDIF(Table1[[#This Row],[Date_Acq]],Table1[[#This Row],[Inactive_Date]],"m"))</f>
        <v>26</v>
      </c>
    </row>
    <row r="324" spans="1:26" s="16" customFormat="1" hidden="1" x14ac:dyDescent="0.4">
      <c r="A324" s="6"/>
      <c r="B324" s="7"/>
      <c r="C324" s="4">
        <v>41898</v>
      </c>
      <c r="D324" s="1" t="s">
        <v>301</v>
      </c>
      <c r="E324" s="1" t="s">
        <v>543</v>
      </c>
      <c r="F324" s="1" t="s">
        <v>543</v>
      </c>
      <c r="G324" s="1">
        <v>429</v>
      </c>
      <c r="H324" s="21">
        <v>56250</v>
      </c>
      <c r="I324" s="21" t="s">
        <v>13</v>
      </c>
      <c r="J324" s="1" t="s">
        <v>38</v>
      </c>
      <c r="K324" s="1" t="s">
        <v>34</v>
      </c>
      <c r="L324" s="1" t="s">
        <v>35</v>
      </c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>
        <f ca="1">IF(Table1[[#This Row],[Inactive_Date]]="",DATEDIF(Table1[[#This Row],[Date_Acq]],TODAY(),"m"),DATEDIF(Table1[[#This Row],[Date_Acq]],Table1[[#This Row],[Inactive_Date]],"m"))</f>
        <v>26</v>
      </c>
    </row>
    <row r="325" spans="1:26" s="16" customFormat="1" hidden="1" x14ac:dyDescent="0.4">
      <c r="A325" s="6"/>
      <c r="B325" s="7"/>
      <c r="C325" s="4">
        <v>41899</v>
      </c>
      <c r="D325" s="1"/>
      <c r="E325" s="1" t="s">
        <v>544</v>
      </c>
      <c r="F325" s="1" t="s">
        <v>544</v>
      </c>
      <c r="G325" s="1">
        <v>219.99</v>
      </c>
      <c r="H325" s="21">
        <v>58620</v>
      </c>
      <c r="I325" s="21" t="s">
        <v>13</v>
      </c>
      <c r="J325" s="1" t="s">
        <v>33</v>
      </c>
      <c r="K325" s="1" t="s">
        <v>34</v>
      </c>
      <c r="L325" s="1" t="s">
        <v>51</v>
      </c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>
        <f ca="1">IF(Table1[[#This Row],[Inactive_Date]]="",DATEDIF(Table1[[#This Row],[Date_Acq]],TODAY(),"m"),DATEDIF(Table1[[#This Row],[Date_Acq]],Table1[[#This Row],[Inactive_Date]],"m"))</f>
        <v>26</v>
      </c>
    </row>
    <row r="326" spans="1:26" s="16" customFormat="1" hidden="1" x14ac:dyDescent="0.4">
      <c r="A326" s="6"/>
      <c r="B326" s="7"/>
      <c r="C326" s="4">
        <v>41899</v>
      </c>
      <c r="D326" s="1"/>
      <c r="E326" s="1" t="s">
        <v>545</v>
      </c>
      <c r="F326" s="1" t="s">
        <v>546</v>
      </c>
      <c r="G326" s="1">
        <v>439.98</v>
      </c>
      <c r="H326" s="21">
        <v>54420</v>
      </c>
      <c r="I326" s="21" t="s">
        <v>13</v>
      </c>
      <c r="J326" s="1" t="s">
        <v>33</v>
      </c>
      <c r="K326" s="1" t="s">
        <v>34</v>
      </c>
      <c r="L326" s="1" t="s">
        <v>35</v>
      </c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>
        <f ca="1">IF(Table1[[#This Row],[Inactive_Date]]="",DATEDIF(Table1[[#This Row],[Date_Acq]],TODAY(),"m"),DATEDIF(Table1[[#This Row],[Date_Acq]],Table1[[#This Row],[Inactive_Date]],"m"))</f>
        <v>26</v>
      </c>
    </row>
    <row r="327" spans="1:26" s="16" customFormat="1" hidden="1" x14ac:dyDescent="0.4">
      <c r="A327" s="6"/>
      <c r="B327" s="7"/>
      <c r="C327" s="4">
        <v>41913</v>
      </c>
      <c r="D327" s="1" t="s">
        <v>547</v>
      </c>
      <c r="E327" s="1" t="s">
        <v>548</v>
      </c>
      <c r="F327" s="1" t="s">
        <v>548</v>
      </c>
      <c r="G327" s="1">
        <v>229</v>
      </c>
      <c r="H327" s="21">
        <v>58050</v>
      </c>
      <c r="I327" s="21" t="s">
        <v>13</v>
      </c>
      <c r="J327" s="1" t="s">
        <v>223</v>
      </c>
      <c r="K327" s="1" t="s">
        <v>34</v>
      </c>
      <c r="L327" s="1" t="s">
        <v>35</v>
      </c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>
        <f ca="1">IF(Table1[[#This Row],[Inactive_Date]]="",DATEDIF(Table1[[#This Row],[Date_Acq]],TODAY(),"m"),DATEDIF(Table1[[#This Row],[Date_Acq]],Table1[[#This Row],[Inactive_Date]],"m"))</f>
        <v>25</v>
      </c>
    </row>
    <row r="328" spans="1:26" s="17" customFormat="1" hidden="1" x14ac:dyDescent="0.4">
      <c r="A328" s="6"/>
      <c r="B328" s="7"/>
      <c r="C328" s="4">
        <v>41913</v>
      </c>
      <c r="D328" s="2" t="s">
        <v>549</v>
      </c>
      <c r="E328" s="2" t="s">
        <v>550</v>
      </c>
      <c r="F328" s="2" t="s">
        <v>519</v>
      </c>
      <c r="G328" s="2">
        <v>300</v>
      </c>
      <c r="H328" s="21">
        <v>57520</v>
      </c>
      <c r="I328" s="21" t="s">
        <v>108</v>
      </c>
      <c r="J328" s="2" t="s">
        <v>46</v>
      </c>
      <c r="K328" s="2" t="s">
        <v>34</v>
      </c>
      <c r="L328" s="2" t="s">
        <v>35</v>
      </c>
      <c r="M328" s="2"/>
      <c r="N328" s="2" t="s">
        <v>454</v>
      </c>
      <c r="O328" s="2" t="s">
        <v>551</v>
      </c>
      <c r="P328" s="2" t="s">
        <v>552</v>
      </c>
      <c r="Q328" s="2" t="s">
        <v>110</v>
      </c>
      <c r="R328" s="1">
        <v>3</v>
      </c>
      <c r="S328" s="2"/>
      <c r="T328" s="1" t="s">
        <v>410</v>
      </c>
      <c r="U328" s="1"/>
      <c r="V328" s="2"/>
      <c r="W328" s="2"/>
      <c r="X328" s="2"/>
      <c r="Y328" s="2"/>
      <c r="Z328" s="1">
        <f ca="1">IF(Table1[[#This Row],[Inactive_Date]]="",DATEDIF(Table1[[#This Row],[Date_Acq]],TODAY(),"m"),DATEDIF(Table1[[#This Row],[Date_Acq]],Table1[[#This Row],[Inactive_Date]],"m"))</f>
        <v>25</v>
      </c>
    </row>
    <row r="329" spans="1:26" s="16" customFormat="1" hidden="1" x14ac:dyDescent="0.4">
      <c r="A329" s="6"/>
      <c r="B329" s="7"/>
      <c r="C329" s="4">
        <v>41913</v>
      </c>
      <c r="D329" s="1" t="s">
        <v>547</v>
      </c>
      <c r="E329" s="1" t="s">
        <v>553</v>
      </c>
      <c r="F329" s="1" t="s">
        <v>548</v>
      </c>
      <c r="G329" s="1">
        <v>219</v>
      </c>
      <c r="H329" s="21">
        <v>58050</v>
      </c>
      <c r="I329" s="21" t="s">
        <v>13</v>
      </c>
      <c r="J329" s="1" t="s">
        <v>223</v>
      </c>
      <c r="K329" s="1" t="s">
        <v>34</v>
      </c>
      <c r="L329" s="1" t="s">
        <v>35</v>
      </c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>
        <f ca="1">IF(Table1[[#This Row],[Inactive_Date]]="",DATEDIF(Table1[[#This Row],[Date_Acq]],TODAY(),"m"),DATEDIF(Table1[[#This Row],[Date_Acq]],Table1[[#This Row],[Inactive_Date]],"m"))</f>
        <v>25</v>
      </c>
    </row>
    <row r="330" spans="1:26" s="16" customFormat="1" hidden="1" x14ac:dyDescent="0.4">
      <c r="A330" s="6"/>
      <c r="B330" s="7"/>
      <c r="C330" s="4">
        <v>41927</v>
      </c>
      <c r="D330" s="1" t="s">
        <v>301</v>
      </c>
      <c r="E330" s="1" t="s">
        <v>554</v>
      </c>
      <c r="F330" s="1" t="s">
        <v>554</v>
      </c>
      <c r="G330" s="1">
        <v>491.99</v>
      </c>
      <c r="H330" s="21">
        <v>56250</v>
      </c>
      <c r="I330" s="21" t="s">
        <v>13</v>
      </c>
      <c r="J330" s="1" t="s">
        <v>38</v>
      </c>
      <c r="K330" s="1" t="s">
        <v>34</v>
      </c>
      <c r="L330" s="1" t="s">
        <v>35</v>
      </c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>
        <f ca="1">IF(Table1[[#This Row],[Inactive_Date]]="",DATEDIF(Table1[[#This Row],[Date_Acq]],TODAY(),"m"),DATEDIF(Table1[[#This Row],[Date_Acq]],Table1[[#This Row],[Inactive_Date]],"m"))</f>
        <v>25</v>
      </c>
    </row>
    <row r="331" spans="1:26" s="16" customFormat="1" hidden="1" x14ac:dyDescent="0.4">
      <c r="A331" s="6"/>
      <c r="B331" s="7"/>
      <c r="C331" s="4">
        <v>41930</v>
      </c>
      <c r="D331" s="1" t="s">
        <v>117</v>
      </c>
      <c r="E331" s="1" t="s">
        <v>555</v>
      </c>
      <c r="F331" s="1" t="s">
        <v>555</v>
      </c>
      <c r="G331" s="1">
        <v>154.99</v>
      </c>
      <c r="H331" s="21">
        <v>58660</v>
      </c>
      <c r="I331" s="21" t="s">
        <v>13</v>
      </c>
      <c r="J331" s="1"/>
      <c r="K331" s="1" t="s">
        <v>34</v>
      </c>
      <c r="L331" s="1" t="s">
        <v>51</v>
      </c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>
        <f ca="1">IF(Table1[[#This Row],[Inactive_Date]]="",DATEDIF(Table1[[#This Row],[Date_Acq]],TODAY(),"m"),DATEDIF(Table1[[#This Row],[Date_Acq]],Table1[[#This Row],[Inactive_Date]],"m"))</f>
        <v>25</v>
      </c>
    </row>
    <row r="332" spans="1:26" s="16" customFormat="1" hidden="1" x14ac:dyDescent="0.4">
      <c r="A332" s="6"/>
      <c r="B332" s="7"/>
      <c r="C332" s="4">
        <v>41935</v>
      </c>
      <c r="D332" s="1" t="s">
        <v>556</v>
      </c>
      <c r="E332" s="1" t="s">
        <v>557</v>
      </c>
      <c r="F332" s="1" t="s">
        <v>557</v>
      </c>
      <c r="G332" s="1">
        <v>469</v>
      </c>
      <c r="H332" s="21">
        <v>56250</v>
      </c>
      <c r="I332" s="21" t="s">
        <v>13</v>
      </c>
      <c r="J332" s="1" t="s">
        <v>38</v>
      </c>
      <c r="K332" s="1" t="s">
        <v>34</v>
      </c>
      <c r="L332" s="1" t="s">
        <v>35</v>
      </c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>
        <f ca="1">IF(Table1[[#This Row],[Inactive_Date]]="",DATEDIF(Table1[[#This Row],[Date_Acq]],TODAY(),"m"),DATEDIF(Table1[[#This Row],[Date_Acq]],Table1[[#This Row],[Inactive_Date]],"m"))</f>
        <v>24</v>
      </c>
    </row>
    <row r="333" spans="1:26" s="16" customFormat="1" x14ac:dyDescent="0.4">
      <c r="A333" s="6"/>
      <c r="B333" s="7"/>
      <c r="C333" s="4">
        <v>41936</v>
      </c>
      <c r="D333" s="1" t="s">
        <v>558</v>
      </c>
      <c r="E333" s="1" t="s">
        <v>559</v>
      </c>
      <c r="F333" s="1" t="s">
        <v>560</v>
      </c>
      <c r="G333" s="1">
        <v>6809.6</v>
      </c>
      <c r="H333" s="21">
        <v>57840</v>
      </c>
      <c r="I333" s="21" t="s">
        <v>13</v>
      </c>
      <c r="J333" s="1" t="s">
        <v>73</v>
      </c>
      <c r="K333" s="1" t="s">
        <v>39</v>
      </c>
      <c r="L333" s="1" t="s">
        <v>35</v>
      </c>
      <c r="M333" s="1"/>
      <c r="N333" s="1"/>
      <c r="O333" s="1" t="s">
        <v>561</v>
      </c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>
        <f ca="1">IF(Table1[[#This Row],[Inactive_Date]]="",DATEDIF(Table1[[#This Row],[Date_Acq]],TODAY(),"m"),DATEDIF(Table1[[#This Row],[Date_Acq]],Table1[[#This Row],[Inactive_Date]],"m"))</f>
        <v>24</v>
      </c>
    </row>
    <row r="334" spans="1:26" s="16" customFormat="1" hidden="1" x14ac:dyDescent="0.4">
      <c r="A334" s="6"/>
      <c r="B334" s="7"/>
      <c r="C334" s="4">
        <v>41939</v>
      </c>
      <c r="D334" s="1" t="s">
        <v>301</v>
      </c>
      <c r="E334" s="1" t="s">
        <v>562</v>
      </c>
      <c r="F334" s="1" t="s">
        <v>562</v>
      </c>
      <c r="G334" s="1">
        <v>282.99</v>
      </c>
      <c r="H334" s="21">
        <v>58660</v>
      </c>
      <c r="I334" s="21" t="s">
        <v>13</v>
      </c>
      <c r="J334" s="1"/>
      <c r="K334" s="1" t="s">
        <v>34</v>
      </c>
      <c r="L334" s="1" t="s">
        <v>51</v>
      </c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>
        <f ca="1">IF(Table1[[#This Row],[Inactive_Date]]="",DATEDIF(Table1[[#This Row],[Date_Acq]],TODAY(),"m"),DATEDIF(Table1[[#This Row],[Date_Acq]],Table1[[#This Row],[Inactive_Date]],"m"))</f>
        <v>24</v>
      </c>
    </row>
    <row r="335" spans="1:26" s="16" customFormat="1" hidden="1" x14ac:dyDescent="0.4">
      <c r="A335" s="6"/>
      <c r="B335" s="7"/>
      <c r="C335" s="4">
        <v>41939</v>
      </c>
      <c r="D335" s="1" t="s">
        <v>301</v>
      </c>
      <c r="E335" s="1" t="s">
        <v>563</v>
      </c>
      <c r="F335" s="1" t="s">
        <v>563</v>
      </c>
      <c r="G335" s="1">
        <v>219.98</v>
      </c>
      <c r="H335" s="21">
        <v>58660</v>
      </c>
      <c r="I335" s="21" t="s">
        <v>13</v>
      </c>
      <c r="J335" s="1"/>
      <c r="K335" s="1" t="s">
        <v>34</v>
      </c>
      <c r="L335" s="1" t="s">
        <v>51</v>
      </c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>
        <f ca="1">IF(Table1[[#This Row],[Inactive_Date]]="",DATEDIF(Table1[[#This Row],[Date_Acq]],TODAY(),"m"),DATEDIF(Table1[[#This Row],[Date_Acq]],Table1[[#This Row],[Inactive_Date]],"m"))</f>
        <v>24</v>
      </c>
    </row>
    <row r="336" spans="1:26" s="16" customFormat="1" hidden="1" x14ac:dyDescent="0.4">
      <c r="A336" s="6"/>
      <c r="B336" s="7"/>
      <c r="C336" s="4">
        <v>41939</v>
      </c>
      <c r="D336" s="1" t="s">
        <v>301</v>
      </c>
      <c r="E336" s="1" t="s">
        <v>564</v>
      </c>
      <c r="F336" s="1" t="s">
        <v>564</v>
      </c>
      <c r="G336" s="1">
        <v>445.11</v>
      </c>
      <c r="H336" s="21">
        <v>58660</v>
      </c>
      <c r="I336" s="21" t="s">
        <v>13</v>
      </c>
      <c r="J336" s="1"/>
      <c r="K336" s="1" t="s">
        <v>34</v>
      </c>
      <c r="L336" s="1" t="s">
        <v>51</v>
      </c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>
        <f ca="1">IF(Table1[[#This Row],[Inactive_Date]]="",DATEDIF(Table1[[#This Row],[Date_Acq]],TODAY(),"m"),DATEDIF(Table1[[#This Row],[Date_Acq]],Table1[[#This Row],[Inactive_Date]],"m"))</f>
        <v>24</v>
      </c>
    </row>
    <row r="337" spans="1:26" s="16" customFormat="1" hidden="1" x14ac:dyDescent="0.4">
      <c r="A337" s="6"/>
      <c r="B337" s="7"/>
      <c r="C337" s="4">
        <v>41939</v>
      </c>
      <c r="D337" s="1" t="s">
        <v>301</v>
      </c>
      <c r="E337" s="1" t="s">
        <v>565</v>
      </c>
      <c r="F337" s="1" t="s">
        <v>565</v>
      </c>
      <c r="G337" s="1">
        <v>488.99</v>
      </c>
      <c r="H337" s="21">
        <v>56250</v>
      </c>
      <c r="I337" s="21" t="s">
        <v>13</v>
      </c>
      <c r="J337" s="1" t="s">
        <v>38</v>
      </c>
      <c r="K337" s="1" t="s">
        <v>34</v>
      </c>
      <c r="L337" s="1" t="s">
        <v>35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>
        <f ca="1">IF(Table1[[#This Row],[Inactive_Date]]="",DATEDIF(Table1[[#This Row],[Date_Acq]],TODAY(),"m"),DATEDIF(Table1[[#This Row],[Date_Acq]],Table1[[#This Row],[Inactive_Date]],"m"))</f>
        <v>24</v>
      </c>
    </row>
    <row r="338" spans="1:26" s="16" customFormat="1" hidden="1" x14ac:dyDescent="0.4">
      <c r="A338" s="6"/>
      <c r="B338" s="7"/>
      <c r="C338" s="4">
        <v>41982</v>
      </c>
      <c r="D338" s="1" t="s">
        <v>301</v>
      </c>
      <c r="E338" s="1" t="s">
        <v>566</v>
      </c>
      <c r="F338" s="1" t="s">
        <v>566</v>
      </c>
      <c r="G338" s="1">
        <v>345</v>
      </c>
      <c r="H338" s="21">
        <v>56250</v>
      </c>
      <c r="I338" s="21" t="s">
        <v>13</v>
      </c>
      <c r="J338" s="1" t="s">
        <v>38</v>
      </c>
      <c r="K338" s="1" t="s">
        <v>34</v>
      </c>
      <c r="L338" s="1" t="s">
        <v>35</v>
      </c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>
        <f ca="1">IF(Table1[[#This Row],[Inactive_Date]]="",DATEDIF(Table1[[#This Row],[Date_Acq]],TODAY(),"m"),DATEDIF(Table1[[#This Row],[Date_Acq]],Table1[[#This Row],[Inactive_Date]],"m"))</f>
        <v>23</v>
      </c>
    </row>
    <row r="339" spans="1:26" s="17" customFormat="1" x14ac:dyDescent="0.4">
      <c r="A339" s="6"/>
      <c r="B339" s="7"/>
      <c r="C339" s="4">
        <v>41995</v>
      </c>
      <c r="D339" s="2" t="s">
        <v>360</v>
      </c>
      <c r="E339" s="2" t="s">
        <v>567</v>
      </c>
      <c r="F339" s="2" t="s">
        <v>568</v>
      </c>
      <c r="G339" s="2">
        <v>1839</v>
      </c>
      <c r="H339" s="21">
        <v>55700</v>
      </c>
      <c r="I339" s="21" t="s">
        <v>13</v>
      </c>
      <c r="J339" s="2" t="s">
        <v>46</v>
      </c>
      <c r="K339" s="2" t="s">
        <v>39</v>
      </c>
      <c r="L339" s="2" t="s">
        <v>35</v>
      </c>
      <c r="M339" s="2"/>
      <c r="N339" s="2"/>
      <c r="O339" s="2"/>
      <c r="P339" s="2" t="s">
        <v>569</v>
      </c>
      <c r="Q339" s="2"/>
      <c r="R339" s="1"/>
      <c r="S339" s="2"/>
      <c r="T339" s="1"/>
      <c r="U339" s="1"/>
      <c r="V339" s="2"/>
      <c r="W339" s="2"/>
      <c r="X339" s="2"/>
      <c r="Y339" s="2"/>
      <c r="Z339" s="1">
        <f ca="1">IF(Table1[[#This Row],[Inactive_Date]]="",DATEDIF(Table1[[#This Row],[Date_Acq]],TODAY(),"m"),DATEDIF(Table1[[#This Row],[Date_Acq]],Table1[[#This Row],[Inactive_Date]],"m"))</f>
        <v>23</v>
      </c>
    </row>
    <row r="340" spans="1:26" s="16" customFormat="1" hidden="1" x14ac:dyDescent="0.4">
      <c r="A340" s="6"/>
      <c r="B340" s="7"/>
      <c r="C340" s="4">
        <v>42011</v>
      </c>
      <c r="D340" s="1" t="s">
        <v>117</v>
      </c>
      <c r="E340" s="1" t="s">
        <v>570</v>
      </c>
      <c r="F340" s="1" t="s">
        <v>570</v>
      </c>
      <c r="G340" s="1">
        <v>279.95</v>
      </c>
      <c r="H340" s="21">
        <v>56100</v>
      </c>
      <c r="I340" s="21" t="s">
        <v>13</v>
      </c>
      <c r="J340" s="1" t="s">
        <v>38</v>
      </c>
      <c r="K340" s="1" t="s">
        <v>34</v>
      </c>
      <c r="L340" s="1" t="s">
        <v>35</v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>
        <f ca="1">IF(Table1[[#This Row],[Inactive_Date]]="",DATEDIF(Table1[[#This Row],[Date_Acq]],TODAY(),"m"),DATEDIF(Table1[[#This Row],[Date_Acq]],Table1[[#This Row],[Inactive_Date]],"m"))</f>
        <v>22</v>
      </c>
    </row>
    <row r="341" spans="1:26" s="16" customFormat="1" hidden="1" x14ac:dyDescent="0.4">
      <c r="A341" s="6"/>
      <c r="B341" s="7"/>
      <c r="C341" s="4">
        <v>42011</v>
      </c>
      <c r="D341" s="1" t="s">
        <v>117</v>
      </c>
      <c r="E341" s="1" t="s">
        <v>571</v>
      </c>
      <c r="F341" s="1" t="s">
        <v>571</v>
      </c>
      <c r="G341" s="1">
        <v>319.95</v>
      </c>
      <c r="H341" s="21">
        <v>56100</v>
      </c>
      <c r="I341" s="21" t="s">
        <v>13</v>
      </c>
      <c r="J341" s="1" t="s">
        <v>38</v>
      </c>
      <c r="K341" s="1" t="s">
        <v>34</v>
      </c>
      <c r="L341" s="1" t="s">
        <v>35</v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>
        <f ca="1">IF(Table1[[#This Row],[Inactive_Date]]="",DATEDIF(Table1[[#This Row],[Date_Acq]],TODAY(),"m"),DATEDIF(Table1[[#This Row],[Date_Acq]],Table1[[#This Row],[Inactive_Date]],"m"))</f>
        <v>22</v>
      </c>
    </row>
    <row r="342" spans="1:26" s="16" customFormat="1" hidden="1" x14ac:dyDescent="0.4">
      <c r="A342" s="6"/>
      <c r="B342" s="7"/>
      <c r="C342" s="4">
        <v>42019</v>
      </c>
      <c r="D342" s="1" t="s">
        <v>437</v>
      </c>
      <c r="E342" s="1" t="s">
        <v>572</v>
      </c>
      <c r="F342" s="1" t="s">
        <v>572</v>
      </c>
      <c r="G342" s="1">
        <v>1098</v>
      </c>
      <c r="H342" s="21">
        <v>56100</v>
      </c>
      <c r="I342" s="21" t="s">
        <v>13</v>
      </c>
      <c r="J342" s="1" t="s">
        <v>38</v>
      </c>
      <c r="K342" s="1" t="s">
        <v>34</v>
      </c>
      <c r="L342" s="1" t="s">
        <v>35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>
        <f ca="1">IF(Table1[[#This Row],[Inactive_Date]]="",DATEDIF(Table1[[#This Row],[Date_Acq]],TODAY(),"m"),DATEDIF(Table1[[#This Row],[Date_Acq]],Table1[[#This Row],[Inactive_Date]],"m"))</f>
        <v>22</v>
      </c>
    </row>
    <row r="343" spans="1:26" s="16" customFormat="1" hidden="1" x14ac:dyDescent="0.4">
      <c r="A343" s="6"/>
      <c r="B343" s="7"/>
      <c r="C343" s="4">
        <v>42030</v>
      </c>
      <c r="D343" s="1" t="s">
        <v>437</v>
      </c>
      <c r="E343" s="1" t="s">
        <v>573</v>
      </c>
      <c r="F343" s="1" t="s">
        <v>573</v>
      </c>
      <c r="G343" s="1">
        <v>399</v>
      </c>
      <c r="H343" s="21">
        <v>56200</v>
      </c>
      <c r="I343" s="21" t="s">
        <v>13</v>
      </c>
      <c r="J343" s="1" t="s">
        <v>38</v>
      </c>
      <c r="K343" s="1" t="s">
        <v>34</v>
      </c>
      <c r="L343" s="1" t="s">
        <v>35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>
        <f ca="1">IF(Table1[[#This Row],[Inactive_Date]]="",DATEDIF(Table1[[#This Row],[Date_Acq]],TODAY(),"m"),DATEDIF(Table1[[#This Row],[Date_Acq]],Table1[[#This Row],[Inactive_Date]],"m"))</f>
        <v>21</v>
      </c>
    </row>
    <row r="344" spans="1:26" s="16" customFormat="1" x14ac:dyDescent="0.4">
      <c r="A344" s="6"/>
      <c r="B344" s="7"/>
      <c r="C344" s="4">
        <v>42038</v>
      </c>
      <c r="D344" s="1" t="s">
        <v>574</v>
      </c>
      <c r="E344" s="1" t="s">
        <v>575</v>
      </c>
      <c r="F344" s="1" t="s">
        <v>575</v>
      </c>
      <c r="G344" s="1">
        <v>1892.9</v>
      </c>
      <c r="H344" s="21">
        <v>16115</v>
      </c>
      <c r="I344" s="21" t="s">
        <v>13</v>
      </c>
      <c r="J344" s="1" t="s">
        <v>38</v>
      </c>
      <c r="K344" s="1" t="s">
        <v>39</v>
      </c>
      <c r="L344" s="1" t="s">
        <v>35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>
        <f ca="1">IF(Table1[[#This Row],[Inactive_Date]]="",DATEDIF(Table1[[#This Row],[Date_Acq]],TODAY(),"m"),DATEDIF(Table1[[#This Row],[Date_Acq]],Table1[[#This Row],[Inactive_Date]],"m"))</f>
        <v>21</v>
      </c>
    </row>
    <row r="345" spans="1:26" s="17" customFormat="1" x14ac:dyDescent="0.4">
      <c r="A345" s="6"/>
      <c r="B345" s="7"/>
      <c r="C345" s="4">
        <v>42038</v>
      </c>
      <c r="D345" s="2" t="s">
        <v>208</v>
      </c>
      <c r="E345" s="2" t="s">
        <v>576</v>
      </c>
      <c r="F345" s="2" t="s">
        <v>576</v>
      </c>
      <c r="G345" s="2">
        <v>3499.96</v>
      </c>
      <c r="H345" s="21">
        <v>16115</v>
      </c>
      <c r="I345" s="21" t="s">
        <v>13</v>
      </c>
      <c r="J345" s="2" t="s">
        <v>46</v>
      </c>
      <c r="K345" s="2" t="s">
        <v>39</v>
      </c>
      <c r="L345" s="2" t="s">
        <v>35</v>
      </c>
      <c r="M345" s="2"/>
      <c r="N345" s="2"/>
      <c r="O345" s="2"/>
      <c r="P345" s="2"/>
      <c r="Q345" s="2"/>
      <c r="R345" s="1"/>
      <c r="S345" s="2"/>
      <c r="T345" s="1"/>
      <c r="U345" s="1"/>
      <c r="V345" s="2"/>
      <c r="W345" s="2"/>
      <c r="X345" s="2"/>
      <c r="Y345" s="2"/>
      <c r="Z345" s="1">
        <f ca="1">IF(Table1[[#This Row],[Inactive_Date]]="",DATEDIF(Table1[[#This Row],[Date_Acq]],TODAY(),"m"),DATEDIF(Table1[[#This Row],[Date_Acq]],Table1[[#This Row],[Inactive_Date]],"m"))</f>
        <v>21</v>
      </c>
    </row>
    <row r="346" spans="1:26" s="16" customFormat="1" hidden="1" x14ac:dyDescent="0.4">
      <c r="A346" s="6"/>
      <c r="B346" s="7"/>
      <c r="C346" s="4">
        <v>42038</v>
      </c>
      <c r="D346" s="1" t="s">
        <v>208</v>
      </c>
      <c r="E346" s="1" t="s">
        <v>577</v>
      </c>
      <c r="F346" s="1" t="s">
        <v>577</v>
      </c>
      <c r="G346" s="1">
        <v>299.99</v>
      </c>
      <c r="H346" s="21">
        <v>56250</v>
      </c>
      <c r="I346" s="21" t="s">
        <v>13</v>
      </c>
      <c r="J346" s="1" t="s">
        <v>38</v>
      </c>
      <c r="K346" s="1" t="s">
        <v>34</v>
      </c>
      <c r="L346" s="1" t="s">
        <v>35</v>
      </c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>
        <f ca="1">IF(Table1[[#This Row],[Inactive_Date]]="",DATEDIF(Table1[[#This Row],[Date_Acq]],TODAY(),"m"),DATEDIF(Table1[[#This Row],[Date_Acq]],Table1[[#This Row],[Inactive_Date]],"m"))</f>
        <v>21</v>
      </c>
    </row>
    <row r="347" spans="1:26" s="16" customFormat="1" hidden="1" x14ac:dyDescent="0.4">
      <c r="A347" s="6"/>
      <c r="B347" s="7"/>
      <c r="C347" s="4">
        <v>42038</v>
      </c>
      <c r="D347" s="1" t="s">
        <v>208</v>
      </c>
      <c r="E347" s="1" t="s">
        <v>578</v>
      </c>
      <c r="F347" s="1" t="s">
        <v>578</v>
      </c>
      <c r="G347" s="1">
        <v>299.99</v>
      </c>
      <c r="H347" s="21">
        <v>56250</v>
      </c>
      <c r="I347" s="21" t="s">
        <v>13</v>
      </c>
      <c r="J347" s="1" t="s">
        <v>38</v>
      </c>
      <c r="K347" s="1" t="s">
        <v>34</v>
      </c>
      <c r="L347" s="1" t="s">
        <v>35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>
        <f ca="1">IF(Table1[[#This Row],[Inactive_Date]]="",DATEDIF(Table1[[#This Row],[Date_Acq]],TODAY(),"m"),DATEDIF(Table1[[#This Row],[Date_Acq]],Table1[[#This Row],[Inactive_Date]],"m"))</f>
        <v>21</v>
      </c>
    </row>
    <row r="348" spans="1:26" s="16" customFormat="1" hidden="1" x14ac:dyDescent="0.4">
      <c r="A348" s="6"/>
      <c r="B348" s="7"/>
      <c r="C348" s="4">
        <v>42038</v>
      </c>
      <c r="D348" s="1" t="s">
        <v>208</v>
      </c>
      <c r="E348" s="1" t="s">
        <v>579</v>
      </c>
      <c r="F348" s="1" t="s">
        <v>579</v>
      </c>
      <c r="G348" s="1">
        <v>299.99</v>
      </c>
      <c r="H348" s="21">
        <v>56250</v>
      </c>
      <c r="I348" s="21" t="s">
        <v>13</v>
      </c>
      <c r="J348" s="1" t="s">
        <v>38</v>
      </c>
      <c r="K348" s="1" t="s">
        <v>34</v>
      </c>
      <c r="L348" s="1" t="s">
        <v>35</v>
      </c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>
        <f ca="1">IF(Table1[[#This Row],[Inactive_Date]]="",DATEDIF(Table1[[#This Row],[Date_Acq]],TODAY(),"m"),DATEDIF(Table1[[#This Row],[Date_Acq]],Table1[[#This Row],[Inactive_Date]],"m"))</f>
        <v>21</v>
      </c>
    </row>
    <row r="349" spans="1:26" s="16" customFormat="1" hidden="1" x14ac:dyDescent="0.4">
      <c r="A349" s="6"/>
      <c r="B349" s="7"/>
      <c r="C349" s="4">
        <v>42038</v>
      </c>
      <c r="D349" s="1" t="s">
        <v>208</v>
      </c>
      <c r="E349" s="1" t="s">
        <v>580</v>
      </c>
      <c r="F349" s="1" t="s">
        <v>580</v>
      </c>
      <c r="G349" s="1">
        <v>299.99</v>
      </c>
      <c r="H349" s="21">
        <v>56250</v>
      </c>
      <c r="I349" s="21" t="s">
        <v>13</v>
      </c>
      <c r="J349" s="1" t="s">
        <v>38</v>
      </c>
      <c r="K349" s="1" t="s">
        <v>34</v>
      </c>
      <c r="L349" s="1" t="s">
        <v>35</v>
      </c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>
        <f ca="1">IF(Table1[[#This Row],[Inactive_Date]]="",DATEDIF(Table1[[#This Row],[Date_Acq]],TODAY(),"m"),DATEDIF(Table1[[#This Row],[Date_Acq]],Table1[[#This Row],[Inactive_Date]],"m"))</f>
        <v>21</v>
      </c>
    </row>
    <row r="350" spans="1:26" s="16" customFormat="1" hidden="1" x14ac:dyDescent="0.4">
      <c r="A350" s="6"/>
      <c r="B350" s="7"/>
      <c r="C350" s="4">
        <v>42038</v>
      </c>
      <c r="D350" s="1" t="s">
        <v>208</v>
      </c>
      <c r="E350" s="1" t="s">
        <v>581</v>
      </c>
      <c r="F350" s="1" t="s">
        <v>581</v>
      </c>
      <c r="G350" s="1">
        <v>299.99</v>
      </c>
      <c r="H350" s="21">
        <v>56250</v>
      </c>
      <c r="I350" s="21" t="s">
        <v>13</v>
      </c>
      <c r="J350" s="1" t="s">
        <v>38</v>
      </c>
      <c r="K350" s="1" t="s">
        <v>34</v>
      </c>
      <c r="L350" s="1" t="s">
        <v>35</v>
      </c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>
        <f ca="1">IF(Table1[[#This Row],[Inactive_Date]]="",DATEDIF(Table1[[#This Row],[Date_Acq]],TODAY(),"m"),DATEDIF(Table1[[#This Row],[Date_Acq]],Table1[[#This Row],[Inactive_Date]],"m"))</f>
        <v>21</v>
      </c>
    </row>
    <row r="351" spans="1:26" s="16" customFormat="1" hidden="1" x14ac:dyDescent="0.4">
      <c r="A351" s="6"/>
      <c r="B351" s="7"/>
      <c r="C351" s="4">
        <v>42038</v>
      </c>
      <c r="D351" s="1" t="s">
        <v>208</v>
      </c>
      <c r="E351" s="1" t="s">
        <v>582</v>
      </c>
      <c r="F351" s="1" t="s">
        <v>582</v>
      </c>
      <c r="G351" s="1">
        <v>299.99</v>
      </c>
      <c r="H351" s="21">
        <v>56250</v>
      </c>
      <c r="I351" s="21" t="s">
        <v>13</v>
      </c>
      <c r="J351" s="1" t="s">
        <v>38</v>
      </c>
      <c r="K351" s="1" t="s">
        <v>34</v>
      </c>
      <c r="L351" s="1" t="s">
        <v>35</v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>
        <f ca="1">IF(Table1[[#This Row],[Inactive_Date]]="",DATEDIF(Table1[[#This Row],[Date_Acq]],TODAY(),"m"),DATEDIF(Table1[[#This Row],[Date_Acq]],Table1[[#This Row],[Inactive_Date]],"m"))</f>
        <v>21</v>
      </c>
    </row>
    <row r="352" spans="1:26" s="16" customFormat="1" hidden="1" x14ac:dyDescent="0.4">
      <c r="A352" s="6"/>
      <c r="B352" s="7"/>
      <c r="C352" s="4">
        <v>42038</v>
      </c>
      <c r="D352" s="1" t="s">
        <v>208</v>
      </c>
      <c r="E352" s="1" t="s">
        <v>583</v>
      </c>
      <c r="F352" s="1" t="s">
        <v>583</v>
      </c>
      <c r="G352" s="1">
        <v>299.99</v>
      </c>
      <c r="H352" s="21">
        <v>56250</v>
      </c>
      <c r="I352" s="21" t="s">
        <v>13</v>
      </c>
      <c r="J352" s="1" t="s">
        <v>38</v>
      </c>
      <c r="K352" s="1" t="s">
        <v>34</v>
      </c>
      <c r="L352" s="1" t="s">
        <v>35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>
        <f ca="1">IF(Table1[[#This Row],[Inactive_Date]]="",DATEDIF(Table1[[#This Row],[Date_Acq]],TODAY(),"m"),DATEDIF(Table1[[#This Row],[Date_Acq]],Table1[[#This Row],[Inactive_Date]],"m"))</f>
        <v>21</v>
      </c>
    </row>
    <row r="353" spans="1:26" s="16" customFormat="1" hidden="1" x14ac:dyDescent="0.4">
      <c r="A353" s="6"/>
      <c r="B353" s="7"/>
      <c r="C353" s="4">
        <v>42038</v>
      </c>
      <c r="D353" s="1" t="s">
        <v>208</v>
      </c>
      <c r="E353" s="1" t="s">
        <v>584</v>
      </c>
      <c r="F353" s="1" t="s">
        <v>584</v>
      </c>
      <c r="G353" s="1">
        <v>299.99</v>
      </c>
      <c r="H353" s="21">
        <v>56250</v>
      </c>
      <c r="I353" s="21" t="s">
        <v>13</v>
      </c>
      <c r="J353" s="1" t="s">
        <v>38</v>
      </c>
      <c r="K353" s="1" t="s">
        <v>34</v>
      </c>
      <c r="L353" s="1" t="s">
        <v>35</v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>
        <f ca="1">IF(Table1[[#This Row],[Inactive_Date]]="",DATEDIF(Table1[[#This Row],[Date_Acq]],TODAY(),"m"),DATEDIF(Table1[[#This Row],[Date_Acq]],Table1[[#This Row],[Inactive_Date]],"m"))</f>
        <v>21</v>
      </c>
    </row>
    <row r="354" spans="1:26" s="16" customFormat="1" hidden="1" x14ac:dyDescent="0.4">
      <c r="A354" s="6"/>
      <c r="B354" s="7"/>
      <c r="C354" s="4">
        <v>42038</v>
      </c>
      <c r="D354" s="1" t="s">
        <v>208</v>
      </c>
      <c r="E354" s="1" t="s">
        <v>585</v>
      </c>
      <c r="F354" s="1" t="s">
        <v>585</v>
      </c>
      <c r="G354" s="1">
        <v>299.99</v>
      </c>
      <c r="H354" s="21">
        <v>56250</v>
      </c>
      <c r="I354" s="21" t="s">
        <v>13</v>
      </c>
      <c r="J354" s="1" t="s">
        <v>38</v>
      </c>
      <c r="K354" s="1" t="s">
        <v>34</v>
      </c>
      <c r="L354" s="1" t="s">
        <v>35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>
        <f ca="1">IF(Table1[[#This Row],[Inactive_Date]]="",DATEDIF(Table1[[#This Row],[Date_Acq]],TODAY(),"m"),DATEDIF(Table1[[#This Row],[Date_Acq]],Table1[[#This Row],[Inactive_Date]],"m"))</f>
        <v>21</v>
      </c>
    </row>
    <row r="355" spans="1:26" s="16" customFormat="1" hidden="1" x14ac:dyDescent="0.4">
      <c r="A355" s="6"/>
      <c r="B355" s="7"/>
      <c r="C355" s="4">
        <v>42038</v>
      </c>
      <c r="D355" s="1" t="s">
        <v>208</v>
      </c>
      <c r="E355" s="1" t="s">
        <v>586</v>
      </c>
      <c r="F355" s="1" t="s">
        <v>586</v>
      </c>
      <c r="G355" s="1">
        <v>299.99</v>
      </c>
      <c r="H355" s="21">
        <v>56250</v>
      </c>
      <c r="I355" s="21" t="s">
        <v>13</v>
      </c>
      <c r="J355" s="1" t="s">
        <v>38</v>
      </c>
      <c r="K355" s="1" t="s">
        <v>34</v>
      </c>
      <c r="L355" s="1" t="s">
        <v>35</v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>
        <f ca="1">IF(Table1[[#This Row],[Inactive_Date]]="",DATEDIF(Table1[[#This Row],[Date_Acq]],TODAY(),"m"),DATEDIF(Table1[[#This Row],[Date_Acq]],Table1[[#This Row],[Inactive_Date]],"m"))</f>
        <v>21</v>
      </c>
    </row>
    <row r="356" spans="1:26" s="16" customFormat="1" hidden="1" x14ac:dyDescent="0.4">
      <c r="A356" s="6"/>
      <c r="B356" s="7"/>
      <c r="C356" s="4">
        <v>42038</v>
      </c>
      <c r="D356" s="1" t="s">
        <v>208</v>
      </c>
      <c r="E356" s="1" t="s">
        <v>587</v>
      </c>
      <c r="F356" s="1" t="s">
        <v>587</v>
      </c>
      <c r="G356" s="1">
        <v>299.99</v>
      </c>
      <c r="H356" s="21">
        <v>56250</v>
      </c>
      <c r="I356" s="21" t="s">
        <v>13</v>
      </c>
      <c r="J356" s="1" t="s">
        <v>38</v>
      </c>
      <c r="K356" s="1" t="s">
        <v>34</v>
      </c>
      <c r="L356" s="1" t="s">
        <v>35</v>
      </c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>
        <f ca="1">IF(Table1[[#This Row],[Inactive_Date]]="",DATEDIF(Table1[[#This Row],[Date_Acq]],TODAY(),"m"),DATEDIF(Table1[[#This Row],[Date_Acq]],Table1[[#This Row],[Inactive_Date]],"m"))</f>
        <v>21</v>
      </c>
    </row>
    <row r="357" spans="1:26" s="16" customFormat="1" hidden="1" x14ac:dyDescent="0.4">
      <c r="A357" s="6"/>
      <c r="B357" s="7"/>
      <c r="C357" s="4">
        <v>42038</v>
      </c>
      <c r="D357" s="1" t="s">
        <v>208</v>
      </c>
      <c r="E357" s="1" t="s">
        <v>588</v>
      </c>
      <c r="F357" s="1" t="s">
        <v>588</v>
      </c>
      <c r="G357" s="1">
        <v>299.99</v>
      </c>
      <c r="H357" s="21">
        <v>56250</v>
      </c>
      <c r="I357" s="21" t="s">
        <v>13</v>
      </c>
      <c r="J357" s="1" t="s">
        <v>38</v>
      </c>
      <c r="K357" s="1" t="s">
        <v>34</v>
      </c>
      <c r="L357" s="1" t="s">
        <v>35</v>
      </c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>
        <f ca="1">IF(Table1[[#This Row],[Inactive_Date]]="",DATEDIF(Table1[[#This Row],[Date_Acq]],TODAY(),"m"),DATEDIF(Table1[[#This Row],[Date_Acq]],Table1[[#This Row],[Inactive_Date]],"m"))</f>
        <v>21</v>
      </c>
    </row>
    <row r="358" spans="1:26" s="16" customFormat="1" hidden="1" x14ac:dyDescent="0.4">
      <c r="A358" s="6"/>
      <c r="B358" s="7"/>
      <c r="C358" s="4">
        <v>42038</v>
      </c>
      <c r="D358" s="1" t="s">
        <v>208</v>
      </c>
      <c r="E358" s="1" t="s">
        <v>589</v>
      </c>
      <c r="F358" s="1" t="s">
        <v>589</v>
      </c>
      <c r="G358" s="1">
        <v>299.99</v>
      </c>
      <c r="H358" s="21">
        <v>56250</v>
      </c>
      <c r="I358" s="21" t="s">
        <v>13</v>
      </c>
      <c r="J358" s="1" t="s">
        <v>38</v>
      </c>
      <c r="K358" s="1" t="s">
        <v>34</v>
      </c>
      <c r="L358" s="1" t="s">
        <v>35</v>
      </c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>
        <f ca="1">IF(Table1[[#This Row],[Inactive_Date]]="",DATEDIF(Table1[[#This Row],[Date_Acq]],TODAY(),"m"),DATEDIF(Table1[[#This Row],[Date_Acq]],Table1[[#This Row],[Inactive_Date]],"m"))</f>
        <v>21</v>
      </c>
    </row>
    <row r="359" spans="1:26" s="16" customFormat="1" hidden="1" x14ac:dyDescent="0.4">
      <c r="A359" s="6"/>
      <c r="B359" s="7"/>
      <c r="C359" s="4">
        <v>42038</v>
      </c>
      <c r="D359" s="1" t="s">
        <v>208</v>
      </c>
      <c r="E359" s="1" t="s">
        <v>590</v>
      </c>
      <c r="F359" s="1" t="s">
        <v>590</v>
      </c>
      <c r="G359" s="1">
        <v>299.99</v>
      </c>
      <c r="H359" s="21">
        <v>56250</v>
      </c>
      <c r="I359" s="21" t="s">
        <v>13</v>
      </c>
      <c r="J359" s="1" t="s">
        <v>38</v>
      </c>
      <c r="K359" s="1" t="s">
        <v>34</v>
      </c>
      <c r="L359" s="1" t="s">
        <v>35</v>
      </c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>
        <f ca="1">IF(Table1[[#This Row],[Inactive_Date]]="",DATEDIF(Table1[[#This Row],[Date_Acq]],TODAY(),"m"),DATEDIF(Table1[[#This Row],[Date_Acq]],Table1[[#This Row],[Inactive_Date]],"m"))</f>
        <v>21</v>
      </c>
    </row>
    <row r="360" spans="1:26" s="16" customFormat="1" hidden="1" x14ac:dyDescent="0.4">
      <c r="A360" s="6"/>
      <c r="B360" s="7"/>
      <c r="C360" s="4">
        <v>42047</v>
      </c>
      <c r="D360" s="1" t="s">
        <v>591</v>
      </c>
      <c r="E360" s="1" t="s">
        <v>592</v>
      </c>
      <c r="F360" s="1" t="s">
        <v>593</v>
      </c>
      <c r="G360" s="1">
        <v>730</v>
      </c>
      <c r="H360" s="21">
        <v>57690</v>
      </c>
      <c r="I360" s="21" t="s">
        <v>13</v>
      </c>
      <c r="J360" s="1" t="s">
        <v>65</v>
      </c>
      <c r="K360" s="1" t="s">
        <v>34</v>
      </c>
      <c r="L360" s="1" t="s">
        <v>35</v>
      </c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>
        <f ca="1">IF(Table1[[#This Row],[Inactive_Date]]="",DATEDIF(Table1[[#This Row],[Date_Acq]],TODAY(),"m"),DATEDIF(Table1[[#This Row],[Date_Acq]],Table1[[#This Row],[Inactive_Date]],"m"))</f>
        <v>21</v>
      </c>
    </row>
    <row r="361" spans="1:26" s="17" customFormat="1" x14ac:dyDescent="0.4">
      <c r="A361" s="6"/>
      <c r="B361" s="7"/>
      <c r="C361" s="4">
        <v>42054</v>
      </c>
      <c r="D361" s="2" t="s">
        <v>360</v>
      </c>
      <c r="E361" s="2" t="s">
        <v>594</v>
      </c>
      <c r="F361" s="2" t="s">
        <v>594</v>
      </c>
      <c r="G361" s="2">
        <v>2115</v>
      </c>
      <c r="H361" s="21">
        <v>57520</v>
      </c>
      <c r="I361" s="21" t="s">
        <v>13</v>
      </c>
      <c r="J361" s="2" t="s">
        <v>46</v>
      </c>
      <c r="K361" s="2" t="s">
        <v>39</v>
      </c>
      <c r="L361" s="2" t="s">
        <v>35</v>
      </c>
      <c r="M361" s="2"/>
      <c r="N361" s="2"/>
      <c r="O361" s="2"/>
      <c r="P361" s="2"/>
      <c r="Q361" s="2"/>
      <c r="R361" s="1"/>
      <c r="S361" s="2"/>
      <c r="T361" s="1"/>
      <c r="U361" s="1"/>
      <c r="V361" s="2"/>
      <c r="W361" s="2"/>
      <c r="X361" s="2"/>
      <c r="Y361" s="2"/>
      <c r="Z361" s="1">
        <f ca="1">IF(Table1[[#This Row],[Inactive_Date]]="",DATEDIF(Table1[[#This Row],[Date_Acq]],TODAY(),"m"),DATEDIF(Table1[[#This Row],[Date_Acq]],Table1[[#This Row],[Inactive_Date]],"m"))</f>
        <v>21</v>
      </c>
    </row>
    <row r="362" spans="1:26" s="17" customFormat="1" x14ac:dyDescent="0.4">
      <c r="A362" s="6"/>
      <c r="B362" s="7"/>
      <c r="C362" s="4">
        <v>42054</v>
      </c>
      <c r="D362" s="2" t="s">
        <v>306</v>
      </c>
      <c r="E362" s="2" t="s">
        <v>595</v>
      </c>
      <c r="F362" s="2" t="s">
        <v>595</v>
      </c>
      <c r="G362" s="2">
        <v>2943</v>
      </c>
      <c r="H362" s="21">
        <v>57520</v>
      </c>
      <c r="I362" s="21" t="s">
        <v>13</v>
      </c>
      <c r="J362" s="2" t="s">
        <v>46</v>
      </c>
      <c r="K362" s="2" t="s">
        <v>39</v>
      </c>
      <c r="L362" s="2" t="s">
        <v>35</v>
      </c>
      <c r="M362" s="2"/>
      <c r="N362" s="2"/>
      <c r="O362" s="2"/>
      <c r="P362" s="2"/>
      <c r="Q362" s="2"/>
      <c r="R362" s="1"/>
      <c r="S362" s="2"/>
      <c r="T362" s="1"/>
      <c r="U362" s="1"/>
      <c r="V362" s="2"/>
      <c r="W362" s="2"/>
      <c r="X362" s="2"/>
      <c r="Y362" s="2"/>
      <c r="Z362" s="1">
        <f ca="1">IF(Table1[[#This Row],[Inactive_Date]]="",DATEDIF(Table1[[#This Row],[Date_Acq]],TODAY(),"m"),DATEDIF(Table1[[#This Row],[Date_Acq]],Table1[[#This Row],[Inactive_Date]],"m"))</f>
        <v>21</v>
      </c>
    </row>
    <row r="363" spans="1:26" s="16" customFormat="1" hidden="1" x14ac:dyDescent="0.4">
      <c r="A363" s="6"/>
      <c r="B363" s="7"/>
      <c r="C363" s="4">
        <v>42057</v>
      </c>
      <c r="D363" s="1" t="s">
        <v>596</v>
      </c>
      <c r="E363" s="1" t="s">
        <v>597</v>
      </c>
      <c r="F363" s="1" t="s">
        <v>597</v>
      </c>
      <c r="G363" s="1">
        <v>215.84</v>
      </c>
      <c r="H363" s="21">
        <v>70150</v>
      </c>
      <c r="I363" s="21" t="s">
        <v>13</v>
      </c>
      <c r="J363" s="1" t="s">
        <v>527</v>
      </c>
      <c r="K363" s="1" t="s">
        <v>34</v>
      </c>
      <c r="L363" s="1" t="s">
        <v>528</v>
      </c>
      <c r="M363" s="1"/>
      <c r="N363" s="1" t="s">
        <v>598</v>
      </c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>
        <f ca="1">IF(Table1[[#This Row],[Inactive_Date]]="",DATEDIF(Table1[[#This Row],[Date_Acq]],TODAY(),"m"),DATEDIF(Table1[[#This Row],[Date_Acq]],Table1[[#This Row],[Inactive_Date]],"m"))</f>
        <v>21</v>
      </c>
    </row>
    <row r="364" spans="1:26" s="16" customFormat="1" hidden="1" x14ac:dyDescent="0.4">
      <c r="A364" s="6"/>
      <c r="B364" s="7"/>
      <c r="C364" s="4">
        <v>42066</v>
      </c>
      <c r="D364" s="1" t="s">
        <v>599</v>
      </c>
      <c r="E364" s="1" t="s">
        <v>600</v>
      </c>
      <c r="F364" s="1" t="s">
        <v>600</v>
      </c>
      <c r="G364" s="1">
        <v>259.99</v>
      </c>
      <c r="H364" s="21">
        <v>70150</v>
      </c>
      <c r="I364" s="21" t="s">
        <v>13</v>
      </c>
      <c r="J364" s="1" t="s">
        <v>527</v>
      </c>
      <c r="K364" s="1" t="s">
        <v>34</v>
      </c>
      <c r="L364" s="1" t="s">
        <v>528</v>
      </c>
      <c r="M364" s="1"/>
      <c r="N364" s="1" t="s">
        <v>601</v>
      </c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>
        <f ca="1">IF(Table1[[#This Row],[Inactive_Date]]="",DATEDIF(Table1[[#This Row],[Date_Acq]],TODAY(),"m"),DATEDIF(Table1[[#This Row],[Date_Acq]],Table1[[#This Row],[Inactive_Date]],"m"))</f>
        <v>20</v>
      </c>
    </row>
    <row r="365" spans="1:26" s="16" customFormat="1" hidden="1" x14ac:dyDescent="0.4">
      <c r="A365" s="6"/>
      <c r="B365" s="7"/>
      <c r="C365" s="4">
        <v>42068</v>
      </c>
      <c r="D365" s="1" t="s">
        <v>301</v>
      </c>
      <c r="E365" s="1" t="s">
        <v>602</v>
      </c>
      <c r="F365" s="1" t="s">
        <v>602</v>
      </c>
      <c r="G365" s="1">
        <v>399</v>
      </c>
      <c r="H365" s="21">
        <v>56200</v>
      </c>
      <c r="I365" s="21" t="s">
        <v>13</v>
      </c>
      <c r="J365" s="1" t="s">
        <v>38</v>
      </c>
      <c r="K365" s="1" t="s">
        <v>34</v>
      </c>
      <c r="L365" s="1" t="s">
        <v>35</v>
      </c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>
        <f ca="1">IF(Table1[[#This Row],[Inactive_Date]]="",DATEDIF(Table1[[#This Row],[Date_Acq]],TODAY(),"m"),DATEDIF(Table1[[#This Row],[Date_Acq]],Table1[[#This Row],[Inactive_Date]],"m"))</f>
        <v>20</v>
      </c>
    </row>
    <row r="366" spans="1:26" s="16" customFormat="1" hidden="1" x14ac:dyDescent="0.4">
      <c r="A366" s="6"/>
      <c r="B366" s="7"/>
      <c r="C366" s="4">
        <v>42068</v>
      </c>
      <c r="D366" s="1" t="s">
        <v>596</v>
      </c>
      <c r="E366" s="1" t="s">
        <v>597</v>
      </c>
      <c r="F366" s="1" t="s">
        <v>597</v>
      </c>
      <c r="G366" s="1">
        <v>186.82</v>
      </c>
      <c r="H366" s="21">
        <v>70150</v>
      </c>
      <c r="I366" s="21" t="s">
        <v>13</v>
      </c>
      <c r="J366" s="1" t="s">
        <v>527</v>
      </c>
      <c r="K366" s="1" t="s">
        <v>34</v>
      </c>
      <c r="L366" s="1" t="s">
        <v>528</v>
      </c>
      <c r="M366" s="1"/>
      <c r="N366" s="1" t="s">
        <v>598</v>
      </c>
      <c r="O366" s="1" t="s">
        <v>603</v>
      </c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>
        <f ca="1">IF(Table1[[#This Row],[Inactive_Date]]="",DATEDIF(Table1[[#This Row],[Date_Acq]],TODAY(),"m"),DATEDIF(Table1[[#This Row],[Date_Acq]],Table1[[#This Row],[Inactive_Date]],"m"))</f>
        <v>20</v>
      </c>
    </row>
    <row r="367" spans="1:26" s="16" customFormat="1" x14ac:dyDescent="0.4">
      <c r="A367" s="6"/>
      <c r="B367" s="7"/>
      <c r="C367" s="4">
        <v>42068</v>
      </c>
      <c r="D367" s="1" t="s">
        <v>604</v>
      </c>
      <c r="E367" s="1" t="s">
        <v>605</v>
      </c>
      <c r="F367" s="1" t="s">
        <v>605</v>
      </c>
      <c r="G367" s="1">
        <v>2990</v>
      </c>
      <c r="H367" s="21">
        <v>57550</v>
      </c>
      <c r="I367" s="21" t="s">
        <v>13</v>
      </c>
      <c r="J367" s="1" t="s">
        <v>38</v>
      </c>
      <c r="K367" s="1" t="s">
        <v>39</v>
      </c>
      <c r="L367" s="1" t="s">
        <v>35</v>
      </c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>
        <f ca="1">IF(Table1[[#This Row],[Inactive_Date]]="",DATEDIF(Table1[[#This Row],[Date_Acq]],TODAY(),"m"),DATEDIF(Table1[[#This Row],[Date_Acq]],Table1[[#This Row],[Inactive_Date]],"m"))</f>
        <v>20</v>
      </c>
    </row>
    <row r="368" spans="1:26" s="17" customFormat="1" x14ac:dyDescent="0.4">
      <c r="A368" s="6"/>
      <c r="B368" s="7"/>
      <c r="C368" s="4">
        <v>42075</v>
      </c>
      <c r="D368" s="2" t="s">
        <v>606</v>
      </c>
      <c r="E368" s="2" t="s">
        <v>607</v>
      </c>
      <c r="F368" s="2" t="s">
        <v>608</v>
      </c>
      <c r="G368" s="2">
        <v>18000</v>
      </c>
      <c r="H368" s="21"/>
      <c r="I368" s="21" t="s">
        <v>13</v>
      </c>
      <c r="J368" s="2" t="s">
        <v>46</v>
      </c>
      <c r="K368" s="2"/>
      <c r="L368" s="2"/>
      <c r="M368" s="2"/>
      <c r="N368" s="2"/>
      <c r="O368" s="2"/>
      <c r="P368" s="2"/>
      <c r="Q368" s="2"/>
      <c r="R368" s="1">
        <v>1</v>
      </c>
      <c r="S368" s="2" t="s">
        <v>609</v>
      </c>
      <c r="T368" s="1" t="s">
        <v>410</v>
      </c>
      <c r="U368" s="1"/>
      <c r="V368" s="2"/>
      <c r="W368" s="2"/>
      <c r="X368" s="2"/>
      <c r="Y368" s="2"/>
      <c r="Z368" s="1">
        <f ca="1">IF(Table1[[#This Row],[Inactive_Date]]="",DATEDIF(Table1[[#This Row],[Date_Acq]],TODAY(),"m"),DATEDIF(Table1[[#This Row],[Date_Acq]],Table1[[#This Row],[Inactive_Date]],"m"))</f>
        <v>20</v>
      </c>
    </row>
    <row r="369" spans="1:26" s="16" customFormat="1" hidden="1" x14ac:dyDescent="0.4">
      <c r="A369" s="6"/>
      <c r="B369" s="7"/>
      <c r="C369" s="4">
        <v>42079</v>
      </c>
      <c r="D369" s="1" t="s">
        <v>610</v>
      </c>
      <c r="E369" s="1" t="s">
        <v>611</v>
      </c>
      <c r="F369" s="1" t="s">
        <v>611</v>
      </c>
      <c r="G369" s="1">
        <v>399</v>
      </c>
      <c r="H369" s="21">
        <v>58660</v>
      </c>
      <c r="I369" s="21" t="s">
        <v>13</v>
      </c>
      <c r="J369" s="1"/>
      <c r="K369" s="1" t="s">
        <v>34</v>
      </c>
      <c r="L369" s="1" t="s">
        <v>51</v>
      </c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>
        <f ca="1">IF(Table1[[#This Row],[Inactive_Date]]="",DATEDIF(Table1[[#This Row],[Date_Acq]],TODAY(),"m"),DATEDIF(Table1[[#This Row],[Date_Acq]],Table1[[#This Row],[Inactive_Date]],"m"))</f>
        <v>20</v>
      </c>
    </row>
    <row r="370" spans="1:26" s="16" customFormat="1" hidden="1" x14ac:dyDescent="0.4">
      <c r="A370" s="6"/>
      <c r="B370" s="7"/>
      <c r="C370" s="4">
        <v>42093</v>
      </c>
      <c r="D370" s="1" t="s">
        <v>612</v>
      </c>
      <c r="E370" s="1" t="s">
        <v>613</v>
      </c>
      <c r="F370" s="1" t="s">
        <v>613</v>
      </c>
      <c r="G370" s="1">
        <v>299.95999999999998</v>
      </c>
      <c r="H370" s="21">
        <v>56250</v>
      </c>
      <c r="I370" s="21" t="s">
        <v>13</v>
      </c>
      <c r="J370" s="1" t="s">
        <v>38</v>
      </c>
      <c r="K370" s="1" t="s">
        <v>34</v>
      </c>
      <c r="L370" s="1" t="s">
        <v>35</v>
      </c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>
        <f ca="1">IF(Table1[[#This Row],[Inactive_Date]]="",DATEDIF(Table1[[#This Row],[Date_Acq]],TODAY(),"m"),DATEDIF(Table1[[#This Row],[Date_Acq]],Table1[[#This Row],[Inactive_Date]],"m"))</f>
        <v>19</v>
      </c>
    </row>
    <row r="371" spans="1:26" s="16" customFormat="1" x14ac:dyDescent="0.4">
      <c r="A371" s="6"/>
      <c r="B371" s="7"/>
      <c r="C371" s="4">
        <v>42093</v>
      </c>
      <c r="D371" s="1" t="s">
        <v>612</v>
      </c>
      <c r="E371" s="1" t="s">
        <v>614</v>
      </c>
      <c r="F371" s="1" t="s">
        <v>614</v>
      </c>
      <c r="G371" s="1">
        <v>5499</v>
      </c>
      <c r="H371" s="21">
        <v>56250</v>
      </c>
      <c r="I371" s="21" t="s">
        <v>13</v>
      </c>
      <c r="J371" s="1" t="s">
        <v>38</v>
      </c>
      <c r="K371" s="1" t="s">
        <v>39</v>
      </c>
      <c r="L371" s="1" t="s">
        <v>35</v>
      </c>
      <c r="M371" s="1"/>
      <c r="N371" s="1" t="s">
        <v>615</v>
      </c>
      <c r="O371" s="1" t="s">
        <v>616</v>
      </c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>
        <f ca="1">IF(Table1[[#This Row],[Inactive_Date]]="",DATEDIF(Table1[[#This Row],[Date_Acq]],TODAY(),"m"),DATEDIF(Table1[[#This Row],[Date_Acq]],Table1[[#This Row],[Inactive_Date]],"m"))</f>
        <v>19</v>
      </c>
    </row>
    <row r="372" spans="1:26" s="17" customFormat="1" x14ac:dyDescent="0.4">
      <c r="A372" s="6"/>
      <c r="B372" s="7"/>
      <c r="C372" s="4">
        <v>42093</v>
      </c>
      <c r="D372" s="2" t="s">
        <v>208</v>
      </c>
      <c r="E372" s="2" t="s">
        <v>617</v>
      </c>
      <c r="F372" s="2" t="s">
        <v>617</v>
      </c>
      <c r="G372" s="2">
        <v>1739.97</v>
      </c>
      <c r="H372" s="21">
        <v>16115</v>
      </c>
      <c r="I372" s="21" t="s">
        <v>13</v>
      </c>
      <c r="J372" s="2" t="s">
        <v>46</v>
      </c>
      <c r="K372" s="2" t="s">
        <v>39</v>
      </c>
      <c r="L372" s="2" t="s">
        <v>35</v>
      </c>
      <c r="M372" s="2"/>
      <c r="N372" s="2"/>
      <c r="O372" s="2"/>
      <c r="P372" s="2"/>
      <c r="Q372" s="2"/>
      <c r="R372" s="1"/>
      <c r="S372" s="2"/>
      <c r="T372" s="1"/>
      <c r="U372" s="1"/>
      <c r="V372" s="2"/>
      <c r="W372" s="2"/>
      <c r="X372" s="2"/>
      <c r="Y372" s="2"/>
      <c r="Z372" s="1">
        <f ca="1">IF(Table1[[#This Row],[Inactive_Date]]="",DATEDIF(Table1[[#This Row],[Date_Acq]],TODAY(),"m"),DATEDIF(Table1[[#This Row],[Date_Acq]],Table1[[#This Row],[Inactive_Date]],"m"))</f>
        <v>19</v>
      </c>
    </row>
    <row r="373" spans="1:26" s="16" customFormat="1" hidden="1" x14ac:dyDescent="0.4">
      <c r="A373" s="6"/>
      <c r="B373" s="7"/>
      <c r="C373" s="4">
        <v>42097</v>
      </c>
      <c r="D373" s="1" t="s">
        <v>618</v>
      </c>
      <c r="E373" s="1" t="s">
        <v>619</v>
      </c>
      <c r="F373" s="1" t="s">
        <v>619</v>
      </c>
      <c r="G373" s="1">
        <v>499</v>
      </c>
      <c r="H373" s="21">
        <v>56250</v>
      </c>
      <c r="I373" s="21" t="s">
        <v>13</v>
      </c>
      <c r="J373" s="1" t="s">
        <v>38</v>
      </c>
      <c r="K373" s="1" t="s">
        <v>34</v>
      </c>
      <c r="L373" s="1" t="s">
        <v>35</v>
      </c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>
        <f ca="1">IF(Table1[[#This Row],[Inactive_Date]]="",DATEDIF(Table1[[#This Row],[Date_Acq]],TODAY(),"m"),DATEDIF(Table1[[#This Row],[Date_Acq]],Table1[[#This Row],[Inactive_Date]],"m"))</f>
        <v>19</v>
      </c>
    </row>
    <row r="374" spans="1:26" s="16" customFormat="1" hidden="1" x14ac:dyDescent="0.4">
      <c r="A374" s="6"/>
      <c r="B374" s="7"/>
      <c r="C374" s="4">
        <v>42115</v>
      </c>
      <c r="D374" s="1" t="s">
        <v>612</v>
      </c>
      <c r="E374" s="1" t="s">
        <v>620</v>
      </c>
      <c r="F374" s="1" t="s">
        <v>620</v>
      </c>
      <c r="G374" s="1">
        <v>214.95</v>
      </c>
      <c r="H374" s="21">
        <v>56250</v>
      </c>
      <c r="I374" s="21" t="s">
        <v>13</v>
      </c>
      <c r="J374" s="1" t="s">
        <v>38</v>
      </c>
      <c r="K374" s="1" t="s">
        <v>34</v>
      </c>
      <c r="L374" s="1" t="s">
        <v>35</v>
      </c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>
        <f ca="1">IF(Table1[[#This Row],[Inactive_Date]]="",DATEDIF(Table1[[#This Row],[Date_Acq]],TODAY(),"m"),DATEDIF(Table1[[#This Row],[Date_Acq]],Table1[[#This Row],[Inactive_Date]],"m"))</f>
        <v>19</v>
      </c>
    </row>
    <row r="375" spans="1:26" s="16" customFormat="1" hidden="1" x14ac:dyDescent="0.4">
      <c r="A375" s="6"/>
      <c r="B375" s="7"/>
      <c r="C375" s="4">
        <v>42115</v>
      </c>
      <c r="D375" s="1" t="s">
        <v>437</v>
      </c>
      <c r="E375" s="1" t="s">
        <v>621</v>
      </c>
      <c r="F375" s="1" t="s">
        <v>621</v>
      </c>
      <c r="G375" s="1">
        <v>279.95</v>
      </c>
      <c r="H375" s="21">
        <v>56250</v>
      </c>
      <c r="I375" s="21" t="s">
        <v>13</v>
      </c>
      <c r="J375" s="1" t="s">
        <v>38</v>
      </c>
      <c r="K375" s="1" t="s">
        <v>34</v>
      </c>
      <c r="L375" s="1" t="s">
        <v>35</v>
      </c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>
        <f ca="1">IF(Table1[[#This Row],[Inactive_Date]]="",DATEDIF(Table1[[#This Row],[Date_Acq]],TODAY(),"m"),DATEDIF(Table1[[#This Row],[Date_Acq]],Table1[[#This Row],[Inactive_Date]],"m"))</f>
        <v>19</v>
      </c>
    </row>
    <row r="376" spans="1:26" s="16" customFormat="1" hidden="1" x14ac:dyDescent="0.4">
      <c r="A376" s="6"/>
      <c r="B376" s="7"/>
      <c r="C376" s="4">
        <v>42137</v>
      </c>
      <c r="D376" s="1" t="s">
        <v>622</v>
      </c>
      <c r="E376" s="1" t="s">
        <v>623</v>
      </c>
      <c r="F376" s="1" t="s">
        <v>623</v>
      </c>
      <c r="G376" s="1">
        <v>304.94</v>
      </c>
      <c r="H376" s="21">
        <v>70150</v>
      </c>
      <c r="I376" s="21" t="s">
        <v>13</v>
      </c>
      <c r="J376" s="1" t="s">
        <v>527</v>
      </c>
      <c r="K376" s="1" t="s">
        <v>34</v>
      </c>
      <c r="L376" s="1" t="s">
        <v>528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>
        <f ca="1">IF(Table1[[#This Row],[Inactive_Date]]="",DATEDIF(Table1[[#This Row],[Date_Acq]],TODAY(),"m"),DATEDIF(Table1[[#This Row],[Date_Acq]],Table1[[#This Row],[Inactive_Date]],"m"))</f>
        <v>18</v>
      </c>
    </row>
    <row r="377" spans="1:26" s="16" customFormat="1" hidden="1" x14ac:dyDescent="0.4">
      <c r="A377" s="6"/>
      <c r="B377" s="7"/>
      <c r="C377" s="4">
        <v>42164</v>
      </c>
      <c r="D377" s="1" t="s">
        <v>624</v>
      </c>
      <c r="E377" s="1" t="s">
        <v>625</v>
      </c>
      <c r="F377" s="1" t="s">
        <v>625</v>
      </c>
      <c r="G377" s="1">
        <v>299.99</v>
      </c>
      <c r="H377" s="21">
        <v>56100</v>
      </c>
      <c r="I377" s="21" t="s">
        <v>13</v>
      </c>
      <c r="J377" s="1" t="s">
        <v>38</v>
      </c>
      <c r="K377" s="1" t="s">
        <v>34</v>
      </c>
      <c r="L377" s="1" t="s">
        <v>35</v>
      </c>
      <c r="M377" s="1"/>
      <c r="N377" s="1"/>
      <c r="O377" s="1"/>
      <c r="P377" s="1" t="s">
        <v>626</v>
      </c>
      <c r="Q377" s="1"/>
      <c r="R377" s="1"/>
      <c r="S377" s="1"/>
      <c r="T377" s="1"/>
      <c r="U377" s="1"/>
      <c r="V377" s="1"/>
      <c r="W377" s="1"/>
      <c r="X377" s="1"/>
      <c r="Y377" s="1"/>
      <c r="Z377" s="1">
        <f ca="1">IF(Table1[[#This Row],[Inactive_Date]]="",DATEDIF(Table1[[#This Row],[Date_Acq]],TODAY(),"m"),DATEDIF(Table1[[#This Row],[Date_Acq]],Table1[[#This Row],[Inactive_Date]],"m"))</f>
        <v>17</v>
      </c>
    </row>
    <row r="378" spans="1:26" s="17" customFormat="1" x14ac:dyDescent="0.4">
      <c r="A378" s="6"/>
      <c r="B378" s="7"/>
      <c r="C378" s="4">
        <v>42166</v>
      </c>
      <c r="D378" s="2" t="s">
        <v>360</v>
      </c>
      <c r="E378" s="2" t="s">
        <v>627</v>
      </c>
      <c r="F378" s="2" t="s">
        <v>627</v>
      </c>
      <c r="G378" s="2">
        <v>1195</v>
      </c>
      <c r="H378" s="21">
        <v>16115</v>
      </c>
      <c r="I378" s="21" t="s">
        <v>13</v>
      </c>
      <c r="J378" s="2" t="s">
        <v>46</v>
      </c>
      <c r="K378" s="2" t="s">
        <v>39</v>
      </c>
      <c r="L378" s="2" t="s">
        <v>35</v>
      </c>
      <c r="M378" s="2"/>
      <c r="N378" s="2"/>
      <c r="O378" s="2"/>
      <c r="P378" s="2" t="s">
        <v>628</v>
      </c>
      <c r="Q378" s="2"/>
      <c r="R378" s="1"/>
      <c r="S378" s="2"/>
      <c r="T378" s="1"/>
      <c r="U378" s="1"/>
      <c r="V378" s="2"/>
      <c r="W378" s="2"/>
      <c r="X378" s="2"/>
      <c r="Y378" s="2"/>
      <c r="Z378" s="1">
        <f ca="1">IF(Table1[[#This Row],[Inactive_Date]]="",DATEDIF(Table1[[#This Row],[Date_Acq]],TODAY(),"m"),DATEDIF(Table1[[#This Row],[Date_Acq]],Table1[[#This Row],[Inactive_Date]],"m"))</f>
        <v>17</v>
      </c>
    </row>
    <row r="379" spans="1:26" s="17" customFormat="1" x14ac:dyDescent="0.4">
      <c r="A379" s="6"/>
      <c r="B379" s="7"/>
      <c r="C379" s="4">
        <v>42166</v>
      </c>
      <c r="D379" s="2" t="s">
        <v>360</v>
      </c>
      <c r="E379" s="2" t="s">
        <v>627</v>
      </c>
      <c r="F379" s="2" t="s">
        <v>627</v>
      </c>
      <c r="G379" s="2">
        <v>1195</v>
      </c>
      <c r="H379" s="21">
        <v>16115</v>
      </c>
      <c r="I379" s="21" t="s">
        <v>13</v>
      </c>
      <c r="J379" s="2" t="s">
        <v>46</v>
      </c>
      <c r="K379" s="2" t="s">
        <v>39</v>
      </c>
      <c r="L379" s="2" t="s">
        <v>35</v>
      </c>
      <c r="M379" s="2"/>
      <c r="N379" s="2"/>
      <c r="O379" s="2"/>
      <c r="P379" s="2" t="s">
        <v>629</v>
      </c>
      <c r="Q379" s="2"/>
      <c r="R379" s="1"/>
      <c r="S379" s="2"/>
      <c r="T379" s="1"/>
      <c r="U379" s="1"/>
      <c r="V379" s="2"/>
      <c r="W379" s="2"/>
      <c r="X379" s="2"/>
      <c r="Y379" s="2"/>
      <c r="Z379" s="1">
        <f ca="1">IF(Table1[[#This Row],[Inactive_Date]]="",DATEDIF(Table1[[#This Row],[Date_Acq]],TODAY(),"m"),DATEDIF(Table1[[#This Row],[Date_Acq]],Table1[[#This Row],[Inactive_Date]],"m"))</f>
        <v>17</v>
      </c>
    </row>
    <row r="380" spans="1:26" s="17" customFormat="1" x14ac:dyDescent="0.4">
      <c r="A380" s="6"/>
      <c r="B380" s="7"/>
      <c r="C380" s="4">
        <v>42166</v>
      </c>
      <c r="D380" s="2" t="s">
        <v>360</v>
      </c>
      <c r="E380" s="2" t="s">
        <v>627</v>
      </c>
      <c r="F380" s="2" t="s">
        <v>627</v>
      </c>
      <c r="G380" s="2">
        <v>1195</v>
      </c>
      <c r="H380" s="21">
        <v>16115</v>
      </c>
      <c r="I380" s="21" t="s">
        <v>13</v>
      </c>
      <c r="J380" s="2" t="s">
        <v>46</v>
      </c>
      <c r="K380" s="2" t="s">
        <v>39</v>
      </c>
      <c r="L380" s="2" t="s">
        <v>35</v>
      </c>
      <c r="M380" s="2"/>
      <c r="N380" s="2"/>
      <c r="O380" s="2"/>
      <c r="P380" s="2" t="s">
        <v>630</v>
      </c>
      <c r="Q380" s="2"/>
      <c r="R380" s="1"/>
      <c r="S380" s="2"/>
      <c r="T380" s="1"/>
      <c r="U380" s="1"/>
      <c r="V380" s="2"/>
      <c r="W380" s="2"/>
      <c r="X380" s="2"/>
      <c r="Y380" s="2"/>
      <c r="Z380" s="1">
        <f ca="1">IF(Table1[[#This Row],[Inactive_Date]]="",DATEDIF(Table1[[#This Row],[Date_Acq]],TODAY(),"m"),DATEDIF(Table1[[#This Row],[Date_Acq]],Table1[[#This Row],[Inactive_Date]],"m"))</f>
        <v>17</v>
      </c>
    </row>
    <row r="381" spans="1:26" s="17" customFormat="1" x14ac:dyDescent="0.4">
      <c r="A381" s="6"/>
      <c r="B381" s="7"/>
      <c r="C381" s="4">
        <v>42166</v>
      </c>
      <c r="D381" s="2" t="s">
        <v>360</v>
      </c>
      <c r="E381" s="2" t="s">
        <v>627</v>
      </c>
      <c r="F381" s="2" t="s">
        <v>627</v>
      </c>
      <c r="G381" s="2">
        <v>1195</v>
      </c>
      <c r="H381" s="21">
        <v>16115</v>
      </c>
      <c r="I381" s="21" t="s">
        <v>13</v>
      </c>
      <c r="J381" s="2" t="s">
        <v>46</v>
      </c>
      <c r="K381" s="2" t="s">
        <v>39</v>
      </c>
      <c r="L381" s="2" t="s">
        <v>35</v>
      </c>
      <c r="M381" s="2"/>
      <c r="N381" s="2"/>
      <c r="O381" s="2"/>
      <c r="P381" s="2" t="s">
        <v>631</v>
      </c>
      <c r="Q381" s="2"/>
      <c r="R381" s="1"/>
      <c r="S381" s="2"/>
      <c r="T381" s="1"/>
      <c r="U381" s="1"/>
      <c r="V381" s="2"/>
      <c r="W381" s="2"/>
      <c r="X381" s="2"/>
      <c r="Y381" s="2"/>
      <c r="Z381" s="1">
        <f ca="1">IF(Table1[[#This Row],[Inactive_Date]]="",DATEDIF(Table1[[#This Row],[Date_Acq]],TODAY(),"m"),DATEDIF(Table1[[#This Row],[Date_Acq]],Table1[[#This Row],[Inactive_Date]],"m"))</f>
        <v>17</v>
      </c>
    </row>
    <row r="382" spans="1:26" s="17" customFormat="1" x14ac:dyDescent="0.4">
      <c r="A382" s="6"/>
      <c r="B382" s="7"/>
      <c r="C382" s="4">
        <v>42166</v>
      </c>
      <c r="D382" s="2" t="s">
        <v>360</v>
      </c>
      <c r="E382" s="2" t="s">
        <v>627</v>
      </c>
      <c r="F382" s="2" t="s">
        <v>627</v>
      </c>
      <c r="G382" s="2">
        <v>1195</v>
      </c>
      <c r="H382" s="21">
        <v>16115</v>
      </c>
      <c r="I382" s="21" t="s">
        <v>13</v>
      </c>
      <c r="J382" s="2" t="s">
        <v>46</v>
      </c>
      <c r="K382" s="2" t="s">
        <v>39</v>
      </c>
      <c r="L382" s="2" t="s">
        <v>35</v>
      </c>
      <c r="M382" s="2"/>
      <c r="N382" s="2"/>
      <c r="O382" s="2"/>
      <c r="P382" s="2" t="s">
        <v>632</v>
      </c>
      <c r="Q382" s="2"/>
      <c r="R382" s="1"/>
      <c r="S382" s="2"/>
      <c r="T382" s="1"/>
      <c r="U382" s="1"/>
      <c r="V382" s="2"/>
      <c r="W382" s="2"/>
      <c r="X382" s="2"/>
      <c r="Y382" s="2"/>
      <c r="Z382" s="1">
        <f ca="1">IF(Table1[[#This Row],[Inactive_Date]]="",DATEDIF(Table1[[#This Row],[Date_Acq]],TODAY(),"m"),DATEDIF(Table1[[#This Row],[Date_Acq]],Table1[[#This Row],[Inactive_Date]],"m"))</f>
        <v>17</v>
      </c>
    </row>
    <row r="383" spans="1:26" s="17" customFormat="1" x14ac:dyDescent="0.4">
      <c r="A383" s="6"/>
      <c r="B383" s="7"/>
      <c r="C383" s="4">
        <v>42166</v>
      </c>
      <c r="D383" s="2" t="s">
        <v>360</v>
      </c>
      <c r="E383" s="2" t="s">
        <v>633</v>
      </c>
      <c r="F383" s="2" t="s">
        <v>633</v>
      </c>
      <c r="G383" s="2">
        <v>2115</v>
      </c>
      <c r="H383" s="21">
        <v>16115</v>
      </c>
      <c r="I383" s="21" t="s">
        <v>13</v>
      </c>
      <c r="J383" s="2" t="s">
        <v>46</v>
      </c>
      <c r="K383" s="2" t="s">
        <v>39</v>
      </c>
      <c r="L383" s="2" t="s">
        <v>35</v>
      </c>
      <c r="M383" s="2"/>
      <c r="N383" s="2"/>
      <c r="O383" s="2"/>
      <c r="P383" s="2" t="s">
        <v>634</v>
      </c>
      <c r="Q383" s="2"/>
      <c r="R383" s="1"/>
      <c r="S383" s="2"/>
      <c r="T383" s="1"/>
      <c r="U383" s="1"/>
      <c r="V383" s="2"/>
      <c r="W383" s="2"/>
      <c r="X383" s="2"/>
      <c r="Y383" s="2"/>
      <c r="Z383" s="1">
        <f ca="1">IF(Table1[[#This Row],[Inactive_Date]]="",DATEDIF(Table1[[#This Row],[Date_Acq]],TODAY(),"m"),DATEDIF(Table1[[#This Row],[Date_Acq]],Table1[[#This Row],[Inactive_Date]],"m"))</f>
        <v>17</v>
      </c>
    </row>
    <row r="384" spans="1:26" s="16" customFormat="1" hidden="1" x14ac:dyDescent="0.4">
      <c r="A384" s="6"/>
      <c r="B384" s="7"/>
      <c r="C384" s="4">
        <v>42178</v>
      </c>
      <c r="D384" s="1" t="s">
        <v>208</v>
      </c>
      <c r="E384" s="1" t="s">
        <v>635</v>
      </c>
      <c r="F384" s="1" t="s">
        <v>635</v>
      </c>
      <c r="G384" s="1">
        <v>499.99</v>
      </c>
      <c r="H384" s="21">
        <v>56250</v>
      </c>
      <c r="I384" s="21" t="s">
        <v>13</v>
      </c>
      <c r="J384" s="1" t="s">
        <v>38</v>
      </c>
      <c r="K384" s="1" t="s">
        <v>34</v>
      </c>
      <c r="L384" s="1" t="s">
        <v>35</v>
      </c>
      <c r="M384" s="1"/>
      <c r="N384" s="1" t="s">
        <v>210</v>
      </c>
      <c r="O384" s="1"/>
      <c r="P384" s="1" t="s">
        <v>636</v>
      </c>
      <c r="Q384" s="1"/>
      <c r="R384" s="1"/>
      <c r="S384" s="1"/>
      <c r="T384" s="1"/>
      <c r="U384" s="1"/>
      <c r="V384" s="1"/>
      <c r="W384" s="1"/>
      <c r="X384" s="1"/>
      <c r="Y384" s="1"/>
      <c r="Z384" s="1">
        <f ca="1">IF(Table1[[#This Row],[Inactive_Date]]="",DATEDIF(Table1[[#This Row],[Date_Acq]],TODAY(),"m"),DATEDIF(Table1[[#This Row],[Date_Acq]],Table1[[#This Row],[Inactive_Date]],"m"))</f>
        <v>16</v>
      </c>
    </row>
    <row r="385" spans="1:26" s="16" customFormat="1" hidden="1" x14ac:dyDescent="0.4">
      <c r="A385" s="6"/>
      <c r="B385" s="7"/>
      <c r="C385" s="4">
        <v>42178</v>
      </c>
      <c r="D385" s="1" t="s">
        <v>301</v>
      </c>
      <c r="E385" s="1" t="s">
        <v>637</v>
      </c>
      <c r="F385" s="1" t="s">
        <v>637</v>
      </c>
      <c r="G385" s="1">
        <v>359.99</v>
      </c>
      <c r="H385" s="21">
        <v>56250</v>
      </c>
      <c r="I385" s="21" t="s">
        <v>13</v>
      </c>
      <c r="J385" s="1" t="s">
        <v>38</v>
      </c>
      <c r="K385" s="1" t="s">
        <v>34</v>
      </c>
      <c r="L385" s="1" t="s">
        <v>35</v>
      </c>
      <c r="M385" s="1"/>
      <c r="N385" s="1" t="s">
        <v>638</v>
      </c>
      <c r="O385" s="1" t="s">
        <v>639</v>
      </c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>
        <f ca="1">IF(Table1[[#This Row],[Inactive_Date]]="",DATEDIF(Table1[[#This Row],[Date_Acq]],TODAY(),"m"),DATEDIF(Table1[[#This Row],[Date_Acq]],Table1[[#This Row],[Inactive_Date]],"m"))</f>
        <v>16</v>
      </c>
    </row>
    <row r="386" spans="1:26" s="16" customFormat="1" hidden="1" x14ac:dyDescent="0.4">
      <c r="A386" s="6"/>
      <c r="B386" s="7"/>
      <c r="C386" s="4">
        <v>42179</v>
      </c>
      <c r="D386" s="1" t="s">
        <v>58</v>
      </c>
      <c r="E386" s="1" t="s">
        <v>640</v>
      </c>
      <c r="F386" s="1" t="s">
        <v>641</v>
      </c>
      <c r="G386" s="1">
        <v>209.99</v>
      </c>
      <c r="H386" s="21">
        <v>57620</v>
      </c>
      <c r="I386" s="21" t="s">
        <v>13</v>
      </c>
      <c r="J386" s="1" t="s">
        <v>55</v>
      </c>
      <c r="K386" s="1" t="s">
        <v>34</v>
      </c>
      <c r="L386" s="1" t="s">
        <v>35</v>
      </c>
      <c r="M386" s="1"/>
      <c r="N386" s="1" t="s">
        <v>642</v>
      </c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>
        <f ca="1">IF(Table1[[#This Row],[Inactive_Date]]="",DATEDIF(Table1[[#This Row],[Date_Acq]],TODAY(),"m"),DATEDIF(Table1[[#This Row],[Date_Acq]],Table1[[#This Row],[Inactive_Date]],"m"))</f>
        <v>16</v>
      </c>
    </row>
    <row r="387" spans="1:26" s="16" customFormat="1" hidden="1" x14ac:dyDescent="0.4">
      <c r="A387" s="6"/>
      <c r="B387" s="7"/>
      <c r="C387" s="4">
        <v>42183</v>
      </c>
      <c r="D387" s="1" t="s">
        <v>643</v>
      </c>
      <c r="E387" s="1" t="s">
        <v>644</v>
      </c>
      <c r="F387" s="1" t="s">
        <v>644</v>
      </c>
      <c r="G387" s="1">
        <v>323.61</v>
      </c>
      <c r="H387" s="21">
        <v>56100</v>
      </c>
      <c r="I387" s="21" t="s">
        <v>13</v>
      </c>
      <c r="J387" s="1" t="s">
        <v>38</v>
      </c>
      <c r="K387" s="1" t="s">
        <v>34</v>
      </c>
      <c r="L387" s="1" t="s">
        <v>35</v>
      </c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>
        <f ca="1">IF(Table1[[#This Row],[Inactive_Date]]="",DATEDIF(Table1[[#This Row],[Date_Acq]],TODAY(),"m"),DATEDIF(Table1[[#This Row],[Date_Acq]],Table1[[#This Row],[Inactive_Date]],"m"))</f>
        <v>16</v>
      </c>
    </row>
    <row r="388" spans="1:26" s="16" customFormat="1" x14ac:dyDescent="0.4">
      <c r="A388" s="6"/>
      <c r="B388" s="7"/>
      <c r="C388" s="4">
        <v>42188</v>
      </c>
      <c r="D388" s="1" t="s">
        <v>645</v>
      </c>
      <c r="E388" s="1" t="s">
        <v>646</v>
      </c>
      <c r="F388" s="1" t="s">
        <v>646</v>
      </c>
      <c r="G388" s="1">
        <v>0</v>
      </c>
      <c r="H388" s="21">
        <v>56100</v>
      </c>
      <c r="I388" s="21" t="s">
        <v>13</v>
      </c>
      <c r="J388" s="1" t="s">
        <v>38</v>
      </c>
      <c r="K388" s="1" t="s">
        <v>39</v>
      </c>
      <c r="L388" s="1" t="s">
        <v>35</v>
      </c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>
        <f ca="1">IF(Table1[[#This Row],[Inactive_Date]]="",DATEDIF(Table1[[#This Row],[Date_Acq]],TODAY(),"m"),DATEDIF(Table1[[#This Row],[Date_Acq]],Table1[[#This Row],[Inactive_Date]],"m"))</f>
        <v>16</v>
      </c>
    </row>
    <row r="389" spans="1:26" s="16" customFormat="1" hidden="1" x14ac:dyDescent="0.4">
      <c r="A389" s="6"/>
      <c r="B389" s="7"/>
      <c r="C389" s="4">
        <v>42200</v>
      </c>
      <c r="D389" s="1" t="s">
        <v>301</v>
      </c>
      <c r="E389" s="1" t="s">
        <v>647</v>
      </c>
      <c r="F389" s="1" t="s">
        <v>647</v>
      </c>
      <c r="G389" s="1">
        <v>544.87</v>
      </c>
      <c r="H389" s="21">
        <v>56250</v>
      </c>
      <c r="I389" s="21" t="s">
        <v>13</v>
      </c>
      <c r="J389" s="1" t="s">
        <v>509</v>
      </c>
      <c r="K389" s="1" t="s">
        <v>34</v>
      </c>
      <c r="L389" s="1" t="s">
        <v>35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>
        <f ca="1">IF(Table1[[#This Row],[Inactive_Date]]="",DATEDIF(Table1[[#This Row],[Date_Acq]],TODAY(),"m"),DATEDIF(Table1[[#This Row],[Date_Acq]],Table1[[#This Row],[Inactive_Date]],"m"))</f>
        <v>16</v>
      </c>
    </row>
    <row r="390" spans="1:26" s="16" customFormat="1" hidden="1" x14ac:dyDescent="0.4">
      <c r="A390" s="6"/>
      <c r="B390" s="7"/>
      <c r="C390" s="4">
        <v>42200</v>
      </c>
      <c r="D390" s="1" t="s">
        <v>301</v>
      </c>
      <c r="E390" s="1" t="s">
        <v>648</v>
      </c>
      <c r="F390" s="1" t="s">
        <v>648</v>
      </c>
      <c r="G390" s="1">
        <v>544.87</v>
      </c>
      <c r="H390" s="21">
        <v>56250</v>
      </c>
      <c r="I390" s="21" t="s">
        <v>13</v>
      </c>
      <c r="J390" s="1" t="s">
        <v>38</v>
      </c>
      <c r="K390" s="1" t="s">
        <v>34</v>
      </c>
      <c r="L390" s="1" t="s">
        <v>35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>
        <f ca="1">IF(Table1[[#This Row],[Inactive_Date]]="",DATEDIF(Table1[[#This Row],[Date_Acq]],TODAY(),"m"),DATEDIF(Table1[[#This Row],[Date_Acq]],Table1[[#This Row],[Inactive_Date]],"m"))</f>
        <v>16</v>
      </c>
    </row>
    <row r="391" spans="1:26" s="16" customFormat="1" x14ac:dyDescent="0.4">
      <c r="A391" s="6"/>
      <c r="B391" s="7"/>
      <c r="C391" s="4">
        <v>42201</v>
      </c>
      <c r="D391" s="1" t="s">
        <v>649</v>
      </c>
      <c r="E391" s="1" t="s">
        <v>650</v>
      </c>
      <c r="F391" s="1" t="s">
        <v>651</v>
      </c>
      <c r="G391" s="1">
        <v>1470</v>
      </c>
      <c r="H391" s="21">
        <v>16120</v>
      </c>
      <c r="I391" s="21" t="s">
        <v>13</v>
      </c>
      <c r="J391" s="1" t="s">
        <v>33</v>
      </c>
      <c r="K391" s="1" t="s">
        <v>56</v>
      </c>
      <c r="L391" s="1" t="s">
        <v>35</v>
      </c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>
        <f ca="1">IF(Table1[[#This Row],[Inactive_Date]]="",DATEDIF(Table1[[#This Row],[Date_Acq]],TODAY(),"m"),DATEDIF(Table1[[#This Row],[Date_Acq]],Table1[[#This Row],[Inactive_Date]],"m"))</f>
        <v>16</v>
      </c>
    </row>
    <row r="392" spans="1:26" s="16" customFormat="1" x14ac:dyDescent="0.4">
      <c r="A392" s="6"/>
      <c r="B392" s="7"/>
      <c r="C392" s="4">
        <v>42201</v>
      </c>
      <c r="D392" s="1" t="s">
        <v>649</v>
      </c>
      <c r="E392" s="1" t="s">
        <v>652</v>
      </c>
      <c r="F392" s="1" t="s">
        <v>651</v>
      </c>
      <c r="G392" s="1">
        <v>2940</v>
      </c>
      <c r="H392" s="21">
        <v>16120</v>
      </c>
      <c r="I392" s="21" t="s">
        <v>13</v>
      </c>
      <c r="J392" s="1" t="s">
        <v>33</v>
      </c>
      <c r="K392" s="1" t="s">
        <v>56</v>
      </c>
      <c r="L392" s="1" t="s">
        <v>35</v>
      </c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>
        <f ca="1">IF(Table1[[#This Row],[Inactive_Date]]="",DATEDIF(Table1[[#This Row],[Date_Acq]],TODAY(),"m"),DATEDIF(Table1[[#This Row],[Date_Acq]],Table1[[#This Row],[Inactive_Date]],"m"))</f>
        <v>16</v>
      </c>
    </row>
    <row r="393" spans="1:26" s="16" customFormat="1" x14ac:dyDescent="0.4">
      <c r="A393" s="6"/>
      <c r="B393" s="7"/>
      <c r="C393" s="4">
        <v>42201</v>
      </c>
      <c r="D393" s="1" t="s">
        <v>649</v>
      </c>
      <c r="E393" s="1" t="s">
        <v>653</v>
      </c>
      <c r="F393" s="1" t="s">
        <v>651</v>
      </c>
      <c r="G393" s="1">
        <v>1470</v>
      </c>
      <c r="H393" s="21">
        <v>16120</v>
      </c>
      <c r="I393" s="21" t="s">
        <v>13</v>
      </c>
      <c r="J393" s="1" t="s">
        <v>33</v>
      </c>
      <c r="K393" s="1" t="s">
        <v>56</v>
      </c>
      <c r="L393" s="1" t="s">
        <v>35</v>
      </c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>
        <f ca="1">IF(Table1[[#This Row],[Inactive_Date]]="",DATEDIF(Table1[[#This Row],[Date_Acq]],TODAY(),"m"),DATEDIF(Table1[[#This Row],[Date_Acq]],Table1[[#This Row],[Inactive_Date]],"m"))</f>
        <v>16</v>
      </c>
    </row>
    <row r="394" spans="1:26" s="16" customFormat="1" hidden="1" x14ac:dyDescent="0.4">
      <c r="A394" s="6"/>
      <c r="B394" s="7"/>
      <c r="C394" s="4">
        <v>42213</v>
      </c>
      <c r="D394" s="1" t="s">
        <v>654</v>
      </c>
      <c r="E394" s="1" t="s">
        <v>655</v>
      </c>
      <c r="F394" s="1" t="s">
        <v>655</v>
      </c>
      <c r="G394" s="1">
        <v>2310.13</v>
      </c>
      <c r="H394" s="21">
        <v>16120</v>
      </c>
      <c r="I394" s="21" t="s">
        <v>13</v>
      </c>
      <c r="J394" s="1" t="s">
        <v>509</v>
      </c>
      <c r="K394" s="1" t="s">
        <v>34</v>
      </c>
      <c r="L394" s="1" t="s">
        <v>35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>
        <f ca="1">IF(Table1[[#This Row],[Inactive_Date]]="",DATEDIF(Table1[[#This Row],[Date_Acq]],TODAY(),"m"),DATEDIF(Table1[[#This Row],[Date_Acq]],Table1[[#This Row],[Inactive_Date]],"m"))</f>
        <v>15</v>
      </c>
    </row>
    <row r="395" spans="1:26" s="16" customFormat="1" hidden="1" x14ac:dyDescent="0.4">
      <c r="A395" s="6"/>
      <c r="B395" s="7"/>
      <c r="C395" s="4">
        <v>42213</v>
      </c>
      <c r="D395" s="1" t="s">
        <v>656</v>
      </c>
      <c r="E395" s="1" t="s">
        <v>657</v>
      </c>
      <c r="F395" s="1" t="s">
        <v>657</v>
      </c>
      <c r="G395" s="1">
        <v>299</v>
      </c>
      <c r="H395" s="21">
        <v>16120</v>
      </c>
      <c r="I395" s="21" t="s">
        <v>13</v>
      </c>
      <c r="J395" s="1" t="s">
        <v>33</v>
      </c>
      <c r="K395" s="1" t="s">
        <v>34</v>
      </c>
      <c r="L395" s="1" t="s">
        <v>35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>
        <f ca="1">IF(Table1[[#This Row],[Inactive_Date]]="",DATEDIF(Table1[[#This Row],[Date_Acq]],TODAY(),"m"),DATEDIF(Table1[[#This Row],[Date_Acq]],Table1[[#This Row],[Inactive_Date]],"m"))</f>
        <v>15</v>
      </c>
    </row>
    <row r="396" spans="1:26" s="16" customFormat="1" hidden="1" x14ac:dyDescent="0.4">
      <c r="A396" s="6"/>
      <c r="B396" s="7"/>
      <c r="C396" s="4">
        <v>42213</v>
      </c>
      <c r="D396" s="1" t="s">
        <v>658</v>
      </c>
      <c r="E396" s="1" t="s">
        <v>659</v>
      </c>
      <c r="F396" s="1" t="s">
        <v>659</v>
      </c>
      <c r="G396" s="1">
        <v>204.87</v>
      </c>
      <c r="H396" s="21">
        <v>58620</v>
      </c>
      <c r="I396" s="21" t="s">
        <v>13</v>
      </c>
      <c r="J396" s="1"/>
      <c r="K396" s="1" t="s">
        <v>34</v>
      </c>
      <c r="L396" s="1" t="s">
        <v>51</v>
      </c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>
        <f ca="1">IF(Table1[[#This Row],[Inactive_Date]]="",DATEDIF(Table1[[#This Row],[Date_Acq]],TODAY(),"m"),DATEDIF(Table1[[#This Row],[Date_Acq]],Table1[[#This Row],[Inactive_Date]],"m"))</f>
        <v>15</v>
      </c>
    </row>
    <row r="397" spans="1:26" s="17" customFormat="1" hidden="1" x14ac:dyDescent="0.4">
      <c r="A397" s="6"/>
      <c r="B397" s="7"/>
      <c r="C397" s="4">
        <v>42214</v>
      </c>
      <c r="D397" s="2" t="s">
        <v>660</v>
      </c>
      <c r="E397" s="2" t="s">
        <v>661</v>
      </c>
      <c r="F397" s="2" t="s">
        <v>661</v>
      </c>
      <c r="G397" s="2">
        <v>251.11</v>
      </c>
      <c r="H397" s="21">
        <v>57520</v>
      </c>
      <c r="I397" s="21" t="s">
        <v>13</v>
      </c>
      <c r="J397" s="2" t="s">
        <v>46</v>
      </c>
      <c r="K397" s="2" t="s">
        <v>34</v>
      </c>
      <c r="L397" s="2" t="s">
        <v>35</v>
      </c>
      <c r="M397" s="2"/>
      <c r="N397" s="2"/>
      <c r="O397" s="2"/>
      <c r="P397" s="2"/>
      <c r="Q397" s="2"/>
      <c r="R397" s="1"/>
      <c r="S397" s="2"/>
      <c r="T397" s="1"/>
      <c r="U397" s="1"/>
      <c r="V397" s="2"/>
      <c r="W397" s="2"/>
      <c r="X397" s="2"/>
      <c r="Y397" s="2"/>
      <c r="Z397" s="1">
        <f ca="1">IF(Table1[[#This Row],[Inactive_Date]]="",DATEDIF(Table1[[#This Row],[Date_Acq]],TODAY(),"m"),DATEDIF(Table1[[#This Row],[Date_Acq]],Table1[[#This Row],[Inactive_Date]],"m"))</f>
        <v>15</v>
      </c>
    </row>
    <row r="398" spans="1:26" s="16" customFormat="1" x14ac:dyDescent="0.4">
      <c r="A398" s="6"/>
      <c r="B398" s="7"/>
      <c r="C398" s="4">
        <v>42214</v>
      </c>
      <c r="D398" s="1" t="s">
        <v>662</v>
      </c>
      <c r="E398" s="1" t="s">
        <v>663</v>
      </c>
      <c r="F398" s="1" t="s">
        <v>664</v>
      </c>
      <c r="G398" s="1">
        <v>88840.5</v>
      </c>
      <c r="H398" s="21">
        <v>16120</v>
      </c>
      <c r="I398" s="21" t="s">
        <v>13</v>
      </c>
      <c r="J398" s="1" t="s">
        <v>55</v>
      </c>
      <c r="K398" s="1" t="s">
        <v>56</v>
      </c>
      <c r="L398" s="1" t="s">
        <v>35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>
        <f ca="1">IF(Table1[[#This Row],[Inactive_Date]]="",DATEDIF(Table1[[#This Row],[Date_Acq]],TODAY(),"m"),DATEDIF(Table1[[#This Row],[Date_Acq]],Table1[[#This Row],[Inactive_Date]],"m"))</f>
        <v>15</v>
      </c>
    </row>
    <row r="399" spans="1:26" s="17" customFormat="1" hidden="1" x14ac:dyDescent="0.4">
      <c r="A399" s="6"/>
      <c r="B399" s="7"/>
      <c r="C399" s="4">
        <v>42215</v>
      </c>
      <c r="D399" s="2" t="s">
        <v>665</v>
      </c>
      <c r="E399" s="2" t="s">
        <v>666</v>
      </c>
      <c r="F399" s="2" t="s">
        <v>667</v>
      </c>
      <c r="G399" s="2">
        <v>280</v>
      </c>
      <c r="H399" s="21">
        <v>57520</v>
      </c>
      <c r="I399" s="21" t="s">
        <v>13</v>
      </c>
      <c r="J399" s="2" t="s">
        <v>46</v>
      </c>
      <c r="K399" s="2" t="s">
        <v>34</v>
      </c>
      <c r="L399" s="2" t="s">
        <v>35</v>
      </c>
      <c r="M399" s="2"/>
      <c r="N399" s="2"/>
      <c r="O399" s="2"/>
      <c r="P399" s="2"/>
      <c r="Q399" s="2"/>
      <c r="R399" s="1"/>
      <c r="S399" s="2"/>
      <c r="T399" s="1"/>
      <c r="U399" s="1"/>
      <c r="V399" s="2"/>
      <c r="W399" s="2"/>
      <c r="X399" s="2"/>
      <c r="Y399" s="2"/>
      <c r="Z399" s="1">
        <f ca="1">IF(Table1[[#This Row],[Inactive_Date]]="",DATEDIF(Table1[[#This Row],[Date_Acq]],TODAY(),"m"),DATEDIF(Table1[[#This Row],[Date_Acq]],Table1[[#This Row],[Inactive_Date]],"m"))</f>
        <v>15</v>
      </c>
    </row>
    <row r="400" spans="1:26" s="16" customFormat="1" hidden="1" x14ac:dyDescent="0.4">
      <c r="A400" s="6"/>
      <c r="B400" s="7"/>
      <c r="C400" s="4">
        <v>42216</v>
      </c>
      <c r="D400" s="1" t="s">
        <v>668</v>
      </c>
      <c r="E400" s="1" t="s">
        <v>669</v>
      </c>
      <c r="F400" s="1" t="s">
        <v>669</v>
      </c>
      <c r="G400" s="1">
        <v>249.99</v>
      </c>
      <c r="H400" s="21">
        <v>57840</v>
      </c>
      <c r="I400" s="21" t="s">
        <v>13</v>
      </c>
      <c r="J400" s="1" t="s">
        <v>73</v>
      </c>
      <c r="K400" s="1" t="s">
        <v>34</v>
      </c>
      <c r="L400" s="1" t="s">
        <v>35</v>
      </c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>
        <f ca="1">IF(Table1[[#This Row],[Inactive_Date]]="",DATEDIF(Table1[[#This Row],[Date_Acq]],TODAY(),"m"),DATEDIF(Table1[[#This Row],[Date_Acq]],Table1[[#This Row],[Inactive_Date]],"m"))</f>
        <v>15</v>
      </c>
    </row>
    <row r="401" spans="1:26" s="16" customFormat="1" hidden="1" x14ac:dyDescent="0.4">
      <c r="A401" s="6"/>
      <c r="B401" s="7"/>
      <c r="C401" s="4">
        <v>42219</v>
      </c>
      <c r="D401" s="1" t="s">
        <v>208</v>
      </c>
      <c r="E401" s="1" t="s">
        <v>670</v>
      </c>
      <c r="F401" s="1" t="s">
        <v>670</v>
      </c>
      <c r="G401" s="1">
        <v>499.99</v>
      </c>
      <c r="H401" s="21">
        <v>56250</v>
      </c>
      <c r="I401" s="21" t="s">
        <v>13</v>
      </c>
      <c r="J401" s="1" t="s">
        <v>38</v>
      </c>
      <c r="K401" s="1" t="s">
        <v>34</v>
      </c>
      <c r="L401" s="1" t="s">
        <v>35</v>
      </c>
      <c r="M401" s="1"/>
      <c r="N401" s="1" t="s">
        <v>671</v>
      </c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>
        <f ca="1">IF(Table1[[#This Row],[Inactive_Date]]="",DATEDIF(Table1[[#This Row],[Date_Acq]],TODAY(),"m"),DATEDIF(Table1[[#This Row],[Date_Acq]],Table1[[#This Row],[Inactive_Date]],"m"))</f>
        <v>15</v>
      </c>
    </row>
    <row r="402" spans="1:26" s="16" customFormat="1" x14ac:dyDescent="0.4">
      <c r="A402" s="6"/>
      <c r="B402" s="7"/>
      <c r="C402" s="4">
        <v>42221</v>
      </c>
      <c r="D402" s="1" t="s">
        <v>672</v>
      </c>
      <c r="E402" s="1" t="s">
        <v>673</v>
      </c>
      <c r="F402" s="1" t="s">
        <v>673</v>
      </c>
      <c r="G402" s="1">
        <v>2900</v>
      </c>
      <c r="H402" s="21">
        <v>57840</v>
      </c>
      <c r="I402" s="21" t="s">
        <v>13</v>
      </c>
      <c r="J402" s="1" t="s">
        <v>73</v>
      </c>
      <c r="K402" s="1" t="s">
        <v>74</v>
      </c>
      <c r="L402" s="1" t="s">
        <v>35</v>
      </c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>
        <f ca="1">IF(Table1[[#This Row],[Inactive_Date]]="",DATEDIF(Table1[[#This Row],[Date_Acq]],TODAY(),"m"),DATEDIF(Table1[[#This Row],[Date_Acq]],Table1[[#This Row],[Inactive_Date]],"m"))</f>
        <v>15</v>
      </c>
    </row>
    <row r="403" spans="1:26" s="17" customFormat="1" hidden="1" x14ac:dyDescent="0.4">
      <c r="A403" s="6"/>
      <c r="B403" s="7"/>
      <c r="C403" s="4">
        <v>42226</v>
      </c>
      <c r="D403" s="2" t="s">
        <v>674</v>
      </c>
      <c r="E403" s="2" t="s">
        <v>675</v>
      </c>
      <c r="F403" s="2" t="s">
        <v>675</v>
      </c>
      <c r="G403" s="2">
        <v>1325</v>
      </c>
      <c r="H403" s="21">
        <v>16115</v>
      </c>
      <c r="I403" s="21" t="s">
        <v>13</v>
      </c>
      <c r="J403" s="2" t="s">
        <v>46</v>
      </c>
      <c r="K403" s="2" t="s">
        <v>34</v>
      </c>
      <c r="L403" s="2" t="s">
        <v>35</v>
      </c>
      <c r="M403" s="2"/>
      <c r="N403" s="2"/>
      <c r="O403" s="2"/>
      <c r="P403" s="2"/>
      <c r="Q403" s="2"/>
      <c r="R403" s="1"/>
      <c r="S403" s="2"/>
      <c r="T403" s="1"/>
      <c r="U403" s="1"/>
      <c r="V403" s="2"/>
      <c r="W403" s="2"/>
      <c r="X403" s="2"/>
      <c r="Y403" s="2"/>
      <c r="Z403" s="1">
        <f ca="1">IF(Table1[[#This Row],[Inactive_Date]]="",DATEDIF(Table1[[#This Row],[Date_Acq]],TODAY(),"m"),DATEDIF(Table1[[#This Row],[Date_Acq]],Table1[[#This Row],[Inactive_Date]],"m"))</f>
        <v>15</v>
      </c>
    </row>
    <row r="404" spans="1:26" s="16" customFormat="1" hidden="1" x14ac:dyDescent="0.4">
      <c r="A404" s="6"/>
      <c r="B404" s="7"/>
      <c r="C404" s="4">
        <v>42227</v>
      </c>
      <c r="D404" s="1" t="s">
        <v>208</v>
      </c>
      <c r="E404" s="1" t="s">
        <v>676</v>
      </c>
      <c r="F404" s="1" t="s">
        <v>676</v>
      </c>
      <c r="G404" s="1">
        <v>599.99</v>
      </c>
      <c r="H404" s="21">
        <v>58620</v>
      </c>
      <c r="I404" s="21" t="s">
        <v>13</v>
      </c>
      <c r="J404" s="1"/>
      <c r="K404" s="1" t="s">
        <v>34</v>
      </c>
      <c r="L404" s="1" t="s">
        <v>35</v>
      </c>
      <c r="M404" s="1"/>
      <c r="N404" s="1" t="s">
        <v>677</v>
      </c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>
        <f ca="1">IF(Table1[[#This Row],[Inactive_Date]]="",DATEDIF(Table1[[#This Row],[Date_Acq]],TODAY(),"m"),DATEDIF(Table1[[#This Row],[Date_Acq]],Table1[[#This Row],[Inactive_Date]],"m"))</f>
        <v>15</v>
      </c>
    </row>
    <row r="405" spans="1:26" s="16" customFormat="1" x14ac:dyDescent="0.4">
      <c r="A405" s="6"/>
      <c r="B405" s="7"/>
      <c r="C405" s="4">
        <v>42234</v>
      </c>
      <c r="D405" s="1" t="s">
        <v>177</v>
      </c>
      <c r="E405" s="1" t="s">
        <v>678</v>
      </c>
      <c r="F405" s="1" t="s">
        <v>678</v>
      </c>
      <c r="G405" s="1">
        <v>4199.88</v>
      </c>
      <c r="H405" s="21">
        <v>16120</v>
      </c>
      <c r="I405" s="21" t="s">
        <v>13</v>
      </c>
      <c r="J405" s="1" t="s">
        <v>55</v>
      </c>
      <c r="K405" s="1" t="s">
        <v>56</v>
      </c>
      <c r="L405" s="1" t="s">
        <v>35</v>
      </c>
      <c r="M405" s="1"/>
      <c r="N405" s="1" t="s">
        <v>679</v>
      </c>
      <c r="O405" s="1" t="s">
        <v>680</v>
      </c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>
        <f ca="1">IF(Table1[[#This Row],[Inactive_Date]]="",DATEDIF(Table1[[#This Row],[Date_Acq]],TODAY(),"m"),DATEDIF(Table1[[#This Row],[Date_Acq]],Table1[[#This Row],[Inactive_Date]],"m"))</f>
        <v>15</v>
      </c>
    </row>
    <row r="406" spans="1:26" s="16" customFormat="1" x14ac:dyDescent="0.4">
      <c r="A406" s="6"/>
      <c r="B406" s="7"/>
      <c r="C406" s="4">
        <v>42234</v>
      </c>
      <c r="D406" s="1" t="s">
        <v>177</v>
      </c>
      <c r="E406" s="1" t="s">
        <v>681</v>
      </c>
      <c r="F406" s="1" t="s">
        <v>681</v>
      </c>
      <c r="G406" s="1">
        <v>2099.94</v>
      </c>
      <c r="H406" s="21">
        <v>16120</v>
      </c>
      <c r="I406" s="21" t="s">
        <v>13</v>
      </c>
      <c r="J406" s="1" t="s">
        <v>55</v>
      </c>
      <c r="K406" s="1" t="s">
        <v>56</v>
      </c>
      <c r="L406" s="1" t="s">
        <v>35</v>
      </c>
      <c r="M406" s="1"/>
      <c r="N406" s="1" t="s">
        <v>679</v>
      </c>
      <c r="O406" s="1" t="s">
        <v>682</v>
      </c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>
        <f ca="1">IF(Table1[[#This Row],[Inactive_Date]]="",DATEDIF(Table1[[#This Row],[Date_Acq]],TODAY(),"m"),DATEDIF(Table1[[#This Row],[Date_Acq]],Table1[[#This Row],[Inactive_Date]],"m"))</f>
        <v>15</v>
      </c>
    </row>
    <row r="407" spans="1:26" s="16" customFormat="1" x14ac:dyDescent="0.4">
      <c r="A407" s="6"/>
      <c r="B407" s="7"/>
      <c r="C407" s="4">
        <v>42234</v>
      </c>
      <c r="D407" s="1" t="s">
        <v>177</v>
      </c>
      <c r="E407" s="1" t="s">
        <v>683</v>
      </c>
      <c r="F407" s="1" t="s">
        <v>683</v>
      </c>
      <c r="G407" s="1">
        <v>2099.94</v>
      </c>
      <c r="H407" s="21">
        <v>16120</v>
      </c>
      <c r="I407" s="21" t="s">
        <v>13</v>
      </c>
      <c r="J407" s="1" t="s">
        <v>55</v>
      </c>
      <c r="K407" s="1" t="s">
        <v>56</v>
      </c>
      <c r="L407" s="1" t="s">
        <v>35</v>
      </c>
      <c r="M407" s="1"/>
      <c r="N407" s="1" t="s">
        <v>679</v>
      </c>
      <c r="O407" s="1" t="s">
        <v>684</v>
      </c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>
        <f ca="1">IF(Table1[[#This Row],[Inactive_Date]]="",DATEDIF(Table1[[#This Row],[Date_Acq]],TODAY(),"m"),DATEDIF(Table1[[#This Row],[Date_Acq]],Table1[[#This Row],[Inactive_Date]],"m"))</f>
        <v>15</v>
      </c>
    </row>
    <row r="408" spans="1:26" s="16" customFormat="1" x14ac:dyDescent="0.4">
      <c r="A408" s="6"/>
      <c r="B408" s="7"/>
      <c r="C408" s="4">
        <v>42234</v>
      </c>
      <c r="D408" s="1" t="s">
        <v>177</v>
      </c>
      <c r="E408" s="1" t="s">
        <v>685</v>
      </c>
      <c r="F408" s="1" t="s">
        <v>686</v>
      </c>
      <c r="G408" s="1">
        <v>5596.74</v>
      </c>
      <c r="H408" s="21">
        <v>16120</v>
      </c>
      <c r="I408" s="21" t="s">
        <v>13</v>
      </c>
      <c r="J408" s="1" t="s">
        <v>55</v>
      </c>
      <c r="K408" s="1" t="s">
        <v>56</v>
      </c>
      <c r="L408" s="1" t="s">
        <v>35</v>
      </c>
      <c r="M408" s="1"/>
      <c r="N408" s="1" t="s">
        <v>687</v>
      </c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>
        <f ca="1">IF(Table1[[#This Row],[Inactive_Date]]="",DATEDIF(Table1[[#This Row],[Date_Acq]],TODAY(),"m"),DATEDIF(Table1[[#This Row],[Date_Acq]],Table1[[#This Row],[Inactive_Date]],"m"))</f>
        <v>15</v>
      </c>
    </row>
    <row r="409" spans="1:26" s="16" customFormat="1" x14ac:dyDescent="0.4">
      <c r="A409" s="6"/>
      <c r="B409" s="7"/>
      <c r="C409" s="4">
        <v>42234</v>
      </c>
      <c r="D409" s="1" t="s">
        <v>177</v>
      </c>
      <c r="E409" s="1" t="s">
        <v>688</v>
      </c>
      <c r="F409" s="1" t="s">
        <v>689</v>
      </c>
      <c r="G409" s="1">
        <v>1384.56</v>
      </c>
      <c r="H409" s="21">
        <v>16120</v>
      </c>
      <c r="I409" s="21" t="s">
        <v>13</v>
      </c>
      <c r="J409" s="1" t="s">
        <v>55</v>
      </c>
      <c r="K409" s="1" t="s">
        <v>56</v>
      </c>
      <c r="L409" s="1" t="s">
        <v>35</v>
      </c>
      <c r="M409" s="1"/>
      <c r="N409" s="1" t="s">
        <v>690</v>
      </c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>
        <f ca="1">IF(Table1[[#This Row],[Inactive_Date]]="",DATEDIF(Table1[[#This Row],[Date_Acq]],TODAY(),"m"),DATEDIF(Table1[[#This Row],[Date_Acq]],Table1[[#This Row],[Inactive_Date]],"m"))</f>
        <v>15</v>
      </c>
    </row>
    <row r="410" spans="1:26" s="16" customFormat="1" x14ac:dyDescent="0.4">
      <c r="A410" s="6"/>
      <c r="B410" s="7"/>
      <c r="C410" s="4">
        <v>42236</v>
      </c>
      <c r="D410" s="1" t="s">
        <v>691</v>
      </c>
      <c r="E410" s="1" t="s">
        <v>692</v>
      </c>
      <c r="F410" s="1" t="s">
        <v>692</v>
      </c>
      <c r="G410" s="1">
        <v>5696.4</v>
      </c>
      <c r="H410" s="21">
        <v>16120</v>
      </c>
      <c r="I410" s="21" t="s">
        <v>13</v>
      </c>
      <c r="J410" s="1" t="s">
        <v>73</v>
      </c>
      <c r="K410" s="1" t="s">
        <v>56</v>
      </c>
      <c r="L410" s="1" t="s">
        <v>35</v>
      </c>
      <c r="M410" s="1"/>
      <c r="N410" s="1" t="s">
        <v>693</v>
      </c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>
        <f ca="1">IF(Table1[[#This Row],[Inactive_Date]]="",DATEDIF(Table1[[#This Row],[Date_Acq]],TODAY(),"m"),DATEDIF(Table1[[#This Row],[Date_Acq]],Table1[[#This Row],[Inactive_Date]],"m"))</f>
        <v>15</v>
      </c>
    </row>
    <row r="411" spans="1:26" s="16" customFormat="1" x14ac:dyDescent="0.4">
      <c r="A411" s="6"/>
      <c r="B411" s="7"/>
      <c r="C411" s="4">
        <v>42240</v>
      </c>
      <c r="D411" s="1" t="s">
        <v>694</v>
      </c>
      <c r="E411" s="1" t="s">
        <v>695</v>
      </c>
      <c r="F411" s="1" t="s">
        <v>695</v>
      </c>
      <c r="G411" s="1">
        <v>13000</v>
      </c>
      <c r="H411" s="21">
        <v>57850</v>
      </c>
      <c r="I411" s="21" t="s">
        <v>13</v>
      </c>
      <c r="J411" s="1" t="s">
        <v>73</v>
      </c>
      <c r="K411" s="1" t="s">
        <v>74</v>
      </c>
      <c r="L411" s="1" t="s">
        <v>35</v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>
        <f ca="1">IF(Table1[[#This Row],[Inactive_Date]]="",DATEDIF(Table1[[#This Row],[Date_Acq]],TODAY(),"m"),DATEDIF(Table1[[#This Row],[Date_Acq]],Table1[[#This Row],[Inactive_Date]],"m"))</f>
        <v>14</v>
      </c>
    </row>
    <row r="412" spans="1:26" s="16" customFormat="1" hidden="1" x14ac:dyDescent="0.4">
      <c r="A412" s="6"/>
      <c r="B412" s="7"/>
      <c r="C412" s="4">
        <v>42248</v>
      </c>
      <c r="D412" s="1" t="s">
        <v>295</v>
      </c>
      <c r="E412" s="1" t="s">
        <v>696</v>
      </c>
      <c r="F412" s="1" t="s">
        <v>696</v>
      </c>
      <c r="G412" s="1">
        <v>449.95</v>
      </c>
      <c r="H412" s="21">
        <v>57590</v>
      </c>
      <c r="I412" s="21" t="s">
        <v>13</v>
      </c>
      <c r="J412" s="1" t="s">
        <v>509</v>
      </c>
      <c r="K412" s="1" t="s">
        <v>34</v>
      </c>
      <c r="L412" s="1" t="s">
        <v>35</v>
      </c>
      <c r="M412" s="1"/>
      <c r="N412" s="1" t="s">
        <v>52</v>
      </c>
      <c r="O412" s="1" t="s">
        <v>697</v>
      </c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>
        <f ca="1">IF(Table1[[#This Row],[Inactive_Date]]="",DATEDIF(Table1[[#This Row],[Date_Acq]],TODAY(),"m"),DATEDIF(Table1[[#This Row],[Date_Acq]],Table1[[#This Row],[Inactive_Date]],"m"))</f>
        <v>14</v>
      </c>
    </row>
    <row r="413" spans="1:26" s="17" customFormat="1" x14ac:dyDescent="0.4">
      <c r="A413" s="6"/>
      <c r="B413" s="7"/>
      <c r="C413" s="4">
        <v>42248</v>
      </c>
      <c r="D413" s="2" t="s">
        <v>113</v>
      </c>
      <c r="E413" s="2" t="s">
        <v>698</v>
      </c>
      <c r="F413" s="2" t="s">
        <v>698</v>
      </c>
      <c r="G413" s="2">
        <v>0.01</v>
      </c>
      <c r="H413" s="21">
        <v>16115</v>
      </c>
      <c r="I413" s="21" t="s">
        <v>13</v>
      </c>
      <c r="J413" s="2" t="s">
        <v>46</v>
      </c>
      <c r="K413" s="2" t="s">
        <v>39</v>
      </c>
      <c r="L413" s="2" t="s">
        <v>35</v>
      </c>
      <c r="M413" s="2"/>
      <c r="N413" s="2"/>
      <c r="O413" s="2"/>
      <c r="P413" s="2"/>
      <c r="Q413" s="2"/>
      <c r="R413" s="1"/>
      <c r="S413" s="2"/>
      <c r="T413" s="1"/>
      <c r="U413" s="1"/>
      <c r="V413" s="2"/>
      <c r="W413" s="2"/>
      <c r="X413" s="2"/>
      <c r="Y413" s="2"/>
      <c r="Z413" s="1">
        <f ca="1">IF(Table1[[#This Row],[Inactive_Date]]="",DATEDIF(Table1[[#This Row],[Date_Acq]],TODAY(),"m"),DATEDIF(Table1[[#This Row],[Date_Acq]],Table1[[#This Row],[Inactive_Date]],"m"))</f>
        <v>14</v>
      </c>
    </row>
    <row r="414" spans="1:26" s="16" customFormat="1" x14ac:dyDescent="0.4">
      <c r="A414" s="6"/>
      <c r="B414" s="7"/>
      <c r="C414" s="4">
        <v>42250</v>
      </c>
      <c r="D414" s="1" t="s">
        <v>574</v>
      </c>
      <c r="E414" s="1" t="s">
        <v>699</v>
      </c>
      <c r="F414" s="1" t="s">
        <v>699</v>
      </c>
      <c r="G414" s="1">
        <v>1835.4</v>
      </c>
      <c r="H414" s="21">
        <v>16115</v>
      </c>
      <c r="I414" s="21" t="s">
        <v>13</v>
      </c>
      <c r="J414" s="1" t="s">
        <v>38</v>
      </c>
      <c r="K414" s="1" t="s">
        <v>39</v>
      </c>
      <c r="L414" s="1" t="s">
        <v>35</v>
      </c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>
        <f ca="1">IF(Table1[[#This Row],[Inactive_Date]]="",DATEDIF(Table1[[#This Row],[Date_Acq]],TODAY(),"m"),DATEDIF(Table1[[#This Row],[Date_Acq]],Table1[[#This Row],[Inactive_Date]],"m"))</f>
        <v>14</v>
      </c>
    </row>
    <row r="415" spans="1:26" s="16" customFormat="1" x14ac:dyDescent="0.4">
      <c r="A415" s="6"/>
      <c r="B415" s="7"/>
      <c r="C415" s="4">
        <v>42250</v>
      </c>
      <c r="D415" s="1" t="s">
        <v>574</v>
      </c>
      <c r="E415" s="1" t="s">
        <v>700</v>
      </c>
      <c r="F415" s="1" t="s">
        <v>700</v>
      </c>
      <c r="G415" s="1">
        <v>1380</v>
      </c>
      <c r="H415" s="21">
        <v>56250</v>
      </c>
      <c r="I415" s="21" t="s">
        <v>13</v>
      </c>
      <c r="J415" s="1" t="s">
        <v>38</v>
      </c>
      <c r="K415" s="1" t="s">
        <v>39</v>
      </c>
      <c r="L415" s="1" t="s">
        <v>35</v>
      </c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>
        <f ca="1">IF(Table1[[#This Row],[Inactive_Date]]="",DATEDIF(Table1[[#This Row],[Date_Acq]],TODAY(),"m"),DATEDIF(Table1[[#This Row],[Date_Acq]],Table1[[#This Row],[Inactive_Date]],"m"))</f>
        <v>14</v>
      </c>
    </row>
    <row r="416" spans="1:26" s="16" customFormat="1" x14ac:dyDescent="0.4">
      <c r="A416" s="6"/>
      <c r="B416" s="7"/>
      <c r="C416" s="4">
        <v>42250</v>
      </c>
      <c r="D416" s="1" t="s">
        <v>281</v>
      </c>
      <c r="E416" s="1" t="s">
        <v>701</v>
      </c>
      <c r="F416" s="1" t="s">
        <v>701</v>
      </c>
      <c r="G416" s="1">
        <v>1199.99</v>
      </c>
      <c r="H416" s="21">
        <v>16115</v>
      </c>
      <c r="I416" s="21" t="s">
        <v>13</v>
      </c>
      <c r="J416" s="1" t="s">
        <v>38</v>
      </c>
      <c r="K416" s="1" t="s">
        <v>39</v>
      </c>
      <c r="L416" s="1" t="s">
        <v>35</v>
      </c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>
        <f ca="1">IF(Table1[[#This Row],[Inactive_Date]]="",DATEDIF(Table1[[#This Row],[Date_Acq]],TODAY(),"m"),DATEDIF(Table1[[#This Row],[Date_Acq]],Table1[[#This Row],[Inactive_Date]],"m"))</f>
        <v>14</v>
      </c>
    </row>
    <row r="417" spans="1:26" s="16" customFormat="1" x14ac:dyDescent="0.4">
      <c r="A417" s="6"/>
      <c r="B417" s="7"/>
      <c r="C417" s="4">
        <v>42251</v>
      </c>
      <c r="D417" s="1" t="s">
        <v>281</v>
      </c>
      <c r="E417" s="1" t="s">
        <v>702</v>
      </c>
      <c r="F417" s="1" t="s">
        <v>702</v>
      </c>
      <c r="G417" s="1">
        <v>1699.99</v>
      </c>
      <c r="H417" s="21">
        <v>16115</v>
      </c>
      <c r="I417" s="21" t="s">
        <v>13</v>
      </c>
      <c r="J417" s="1" t="s">
        <v>38</v>
      </c>
      <c r="K417" s="1" t="s">
        <v>39</v>
      </c>
      <c r="L417" s="1" t="s">
        <v>35</v>
      </c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>
        <f ca="1">IF(Table1[[#This Row],[Inactive_Date]]="",DATEDIF(Table1[[#This Row],[Date_Acq]],TODAY(),"m"),DATEDIF(Table1[[#This Row],[Date_Acq]],Table1[[#This Row],[Inactive_Date]],"m"))</f>
        <v>14</v>
      </c>
    </row>
    <row r="418" spans="1:26" s="17" customFormat="1" x14ac:dyDescent="0.4">
      <c r="A418" s="6"/>
      <c r="B418" s="7"/>
      <c r="C418" s="4">
        <v>42255</v>
      </c>
      <c r="D418" s="2" t="s">
        <v>405</v>
      </c>
      <c r="E418" s="2" t="s">
        <v>703</v>
      </c>
      <c r="F418" s="2" t="s">
        <v>704</v>
      </c>
      <c r="G418" s="2">
        <v>1471</v>
      </c>
      <c r="H418" s="21">
        <v>57520</v>
      </c>
      <c r="I418" s="21" t="s">
        <v>13</v>
      </c>
      <c r="J418" s="2" t="s">
        <v>46</v>
      </c>
      <c r="K418" s="2" t="s">
        <v>39</v>
      </c>
      <c r="L418" s="2" t="s">
        <v>35</v>
      </c>
      <c r="M418" s="2"/>
      <c r="N418" s="2" t="s">
        <v>306</v>
      </c>
      <c r="O418" s="2" t="s">
        <v>510</v>
      </c>
      <c r="P418" s="2" t="s">
        <v>705</v>
      </c>
      <c r="Q418" s="2" t="s">
        <v>450</v>
      </c>
      <c r="R418" s="1">
        <v>3</v>
      </c>
      <c r="S418" s="2"/>
      <c r="T418" s="1" t="s">
        <v>706</v>
      </c>
      <c r="U418" s="1"/>
      <c r="V418" s="2"/>
      <c r="W418" s="2"/>
      <c r="X418" s="2"/>
      <c r="Y418" s="2"/>
      <c r="Z418" s="1">
        <f ca="1">IF(Table1[[#This Row],[Inactive_Date]]="",DATEDIF(Table1[[#This Row],[Date_Acq]],TODAY(),"m"),DATEDIF(Table1[[#This Row],[Date_Acq]],Table1[[#This Row],[Inactive_Date]],"m"))</f>
        <v>14</v>
      </c>
    </row>
    <row r="419" spans="1:26" s="17" customFormat="1" hidden="1" x14ac:dyDescent="0.4">
      <c r="A419" s="6"/>
      <c r="B419" s="7"/>
      <c r="C419" s="4">
        <v>42262</v>
      </c>
      <c r="D419" s="2" t="s">
        <v>665</v>
      </c>
      <c r="E419" s="2" t="s">
        <v>707</v>
      </c>
      <c r="F419" s="2" t="s">
        <v>708</v>
      </c>
      <c r="G419" s="2">
        <v>259</v>
      </c>
      <c r="H419" s="21">
        <v>57520</v>
      </c>
      <c r="I419" s="21" t="s">
        <v>13</v>
      </c>
      <c r="J419" s="2" t="s">
        <v>46</v>
      </c>
      <c r="K419" s="2" t="s">
        <v>34</v>
      </c>
      <c r="L419" s="2" t="s">
        <v>35</v>
      </c>
      <c r="M419" s="2"/>
      <c r="N419" s="2" t="s">
        <v>709</v>
      </c>
      <c r="O419" s="2" t="s">
        <v>710</v>
      </c>
      <c r="P419" s="2"/>
      <c r="Q419" s="2" t="s">
        <v>711</v>
      </c>
      <c r="R419" s="1">
        <v>3</v>
      </c>
      <c r="S419" s="2" t="s">
        <v>712</v>
      </c>
      <c r="T419" s="1" t="s">
        <v>706</v>
      </c>
      <c r="U419" s="1"/>
      <c r="V419" s="2"/>
      <c r="W419" s="2"/>
      <c r="X419" s="2"/>
      <c r="Y419" s="2"/>
      <c r="Z419" s="1">
        <f ca="1">IF(Table1[[#This Row],[Inactive_Date]]="",DATEDIF(Table1[[#This Row],[Date_Acq]],TODAY(),"m"),DATEDIF(Table1[[#This Row],[Date_Acq]],Table1[[#This Row],[Inactive_Date]],"m"))</f>
        <v>14</v>
      </c>
    </row>
    <row r="420" spans="1:26" s="16" customFormat="1" hidden="1" x14ac:dyDescent="0.4">
      <c r="A420" s="6"/>
      <c r="B420" s="7"/>
      <c r="C420" s="4">
        <v>42269</v>
      </c>
      <c r="D420" s="1" t="s">
        <v>301</v>
      </c>
      <c r="E420" s="1" t="s">
        <v>713</v>
      </c>
      <c r="F420" s="1" t="s">
        <v>713</v>
      </c>
      <c r="G420" s="1">
        <v>333.36</v>
      </c>
      <c r="H420" s="21">
        <v>56250</v>
      </c>
      <c r="I420" s="21" t="s">
        <v>13</v>
      </c>
      <c r="J420" s="1" t="s">
        <v>38</v>
      </c>
      <c r="K420" s="1" t="s">
        <v>34</v>
      </c>
      <c r="L420" s="1" t="s">
        <v>35</v>
      </c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>
        <f ca="1">IF(Table1[[#This Row],[Inactive_Date]]="",DATEDIF(Table1[[#This Row],[Date_Acq]],TODAY(),"m"),DATEDIF(Table1[[#This Row],[Date_Acq]],Table1[[#This Row],[Inactive_Date]],"m"))</f>
        <v>14</v>
      </c>
    </row>
    <row r="421" spans="1:26" s="16" customFormat="1" hidden="1" x14ac:dyDescent="0.4">
      <c r="A421" s="6"/>
      <c r="B421" s="7"/>
      <c r="C421" s="4">
        <v>42278</v>
      </c>
      <c r="D421" s="1" t="s">
        <v>547</v>
      </c>
      <c r="E421" s="1" t="s">
        <v>714</v>
      </c>
      <c r="F421" s="1" t="s">
        <v>714</v>
      </c>
      <c r="G421" s="1">
        <v>399</v>
      </c>
      <c r="H421" s="21">
        <v>58050</v>
      </c>
      <c r="I421" s="21" t="s">
        <v>13</v>
      </c>
      <c r="J421" s="1" t="s">
        <v>223</v>
      </c>
      <c r="K421" s="1" t="s">
        <v>34</v>
      </c>
      <c r="L421" s="1" t="s">
        <v>35</v>
      </c>
      <c r="M421" s="1"/>
      <c r="N421" s="1" t="s">
        <v>306</v>
      </c>
      <c r="O421" s="1"/>
      <c r="P421" s="1"/>
      <c r="Q421" s="1"/>
      <c r="R421" s="1"/>
      <c r="S421" s="1" t="s">
        <v>715</v>
      </c>
      <c r="T421" s="1"/>
      <c r="U421" s="1"/>
      <c r="V421" s="1"/>
      <c r="W421" s="1"/>
      <c r="X421" s="1"/>
      <c r="Y421" s="1"/>
      <c r="Z421" s="1">
        <f ca="1">IF(Table1[[#This Row],[Inactive_Date]]="",DATEDIF(Table1[[#This Row],[Date_Acq]],TODAY(),"m"),DATEDIF(Table1[[#This Row],[Date_Acq]],Table1[[#This Row],[Inactive_Date]],"m"))</f>
        <v>13</v>
      </c>
    </row>
    <row r="422" spans="1:26" s="16" customFormat="1" hidden="1" x14ac:dyDescent="0.4">
      <c r="A422" s="6"/>
      <c r="B422" s="7"/>
      <c r="C422" s="4">
        <v>42279</v>
      </c>
      <c r="D422" s="1" t="s">
        <v>716</v>
      </c>
      <c r="E422" s="1" t="s">
        <v>717</v>
      </c>
      <c r="F422" s="1" t="s">
        <v>717</v>
      </c>
      <c r="G422" s="1">
        <v>2400</v>
      </c>
      <c r="H422" s="21">
        <v>57810</v>
      </c>
      <c r="I422" s="21" t="s">
        <v>13</v>
      </c>
      <c r="J422" s="1" t="s">
        <v>73</v>
      </c>
      <c r="K422" s="1" t="s">
        <v>34</v>
      </c>
      <c r="L422" s="1" t="s">
        <v>35</v>
      </c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>
        <f ca="1">IF(Table1[[#This Row],[Inactive_Date]]="",DATEDIF(Table1[[#This Row],[Date_Acq]],TODAY(),"m"),DATEDIF(Table1[[#This Row],[Date_Acq]],Table1[[#This Row],[Inactive_Date]],"m"))</f>
        <v>13</v>
      </c>
    </row>
    <row r="423" spans="1:26" s="17" customFormat="1" x14ac:dyDescent="0.4">
      <c r="A423" s="6"/>
      <c r="B423" s="7"/>
      <c r="C423" s="4">
        <v>42279</v>
      </c>
      <c r="D423" s="2" t="s">
        <v>360</v>
      </c>
      <c r="E423" s="2" t="s">
        <v>718</v>
      </c>
      <c r="F423" s="2" t="s">
        <v>718</v>
      </c>
      <c r="G423" s="2">
        <v>2023</v>
      </c>
      <c r="H423" s="21">
        <v>57520</v>
      </c>
      <c r="I423" s="21" t="s">
        <v>13</v>
      </c>
      <c r="J423" s="2" t="s">
        <v>46</v>
      </c>
      <c r="K423" s="2" t="s">
        <v>39</v>
      </c>
      <c r="L423" s="2" t="s">
        <v>35</v>
      </c>
      <c r="M423" s="2"/>
      <c r="N423" s="2"/>
      <c r="O423" s="2"/>
      <c r="P423" s="2"/>
      <c r="Q423" s="2"/>
      <c r="R423" s="1"/>
      <c r="S423" s="2"/>
      <c r="T423" s="1"/>
      <c r="U423" s="1"/>
      <c r="V423" s="2"/>
      <c r="W423" s="2"/>
      <c r="X423" s="2"/>
      <c r="Y423" s="2"/>
      <c r="Z423" s="1">
        <f ca="1">IF(Table1[[#This Row],[Inactive_Date]]="",DATEDIF(Table1[[#This Row],[Date_Acq]],TODAY(),"m"),DATEDIF(Table1[[#This Row],[Date_Acq]],Table1[[#This Row],[Inactive_Date]],"m"))</f>
        <v>13</v>
      </c>
    </row>
    <row r="424" spans="1:26" s="16" customFormat="1" x14ac:dyDescent="0.4">
      <c r="A424" s="6"/>
      <c r="B424" s="7"/>
      <c r="C424" s="4">
        <v>42300</v>
      </c>
      <c r="D424" s="1" t="s">
        <v>719</v>
      </c>
      <c r="E424" s="1" t="s">
        <v>720</v>
      </c>
      <c r="F424" s="1" t="s">
        <v>720</v>
      </c>
      <c r="G424" s="1">
        <v>2224.8000000000002</v>
      </c>
      <c r="H424" s="21">
        <v>57840</v>
      </c>
      <c r="I424" s="21" t="s">
        <v>13</v>
      </c>
      <c r="J424" s="1" t="s">
        <v>73</v>
      </c>
      <c r="K424" s="1" t="s">
        <v>39</v>
      </c>
      <c r="L424" s="1" t="s">
        <v>35</v>
      </c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>
        <f ca="1">IF(Table1[[#This Row],[Inactive_Date]]="",DATEDIF(Table1[[#This Row],[Date_Acq]],TODAY(),"m"),DATEDIF(Table1[[#This Row],[Date_Acq]],Table1[[#This Row],[Inactive_Date]],"m"))</f>
        <v>12</v>
      </c>
    </row>
    <row r="425" spans="1:26" s="16" customFormat="1" x14ac:dyDescent="0.4">
      <c r="A425" s="6"/>
      <c r="B425" s="7"/>
      <c r="C425" s="4">
        <v>42306</v>
      </c>
      <c r="D425" s="1" t="s">
        <v>301</v>
      </c>
      <c r="E425" s="1" t="s">
        <v>721</v>
      </c>
      <c r="F425" s="1" t="s">
        <v>721</v>
      </c>
      <c r="G425" s="1">
        <v>1895.25</v>
      </c>
      <c r="H425" s="21">
        <v>16115</v>
      </c>
      <c r="I425" s="21" t="s">
        <v>13</v>
      </c>
      <c r="J425" s="1" t="s">
        <v>38</v>
      </c>
      <c r="K425" s="1" t="s">
        <v>39</v>
      </c>
      <c r="L425" s="1" t="s">
        <v>35</v>
      </c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>
        <f ca="1">IF(Table1[[#This Row],[Inactive_Date]]="",DATEDIF(Table1[[#This Row],[Date_Acq]],TODAY(),"m"),DATEDIF(Table1[[#This Row],[Date_Acq]],Table1[[#This Row],[Inactive_Date]],"m"))</f>
        <v>12</v>
      </c>
    </row>
    <row r="426" spans="1:26" s="17" customFormat="1" x14ac:dyDescent="0.4">
      <c r="A426" s="6"/>
      <c r="B426" s="7"/>
      <c r="C426" s="4">
        <v>42307</v>
      </c>
      <c r="D426" s="2" t="s">
        <v>306</v>
      </c>
      <c r="E426" s="2" t="s">
        <v>722</v>
      </c>
      <c r="F426" s="2" t="s">
        <v>722</v>
      </c>
      <c r="G426" s="2">
        <v>1379</v>
      </c>
      <c r="H426" s="21">
        <v>57520</v>
      </c>
      <c r="I426" s="21" t="s">
        <v>13</v>
      </c>
      <c r="J426" s="2" t="s">
        <v>46</v>
      </c>
      <c r="K426" s="2" t="s">
        <v>39</v>
      </c>
      <c r="L426" s="2" t="s">
        <v>35</v>
      </c>
      <c r="M426" s="2"/>
      <c r="N426" s="2"/>
      <c r="O426" s="2"/>
      <c r="P426" s="2"/>
      <c r="Q426" s="2"/>
      <c r="R426" s="1"/>
      <c r="S426" s="2"/>
      <c r="T426" s="1"/>
      <c r="U426" s="1"/>
      <c r="V426" s="2"/>
      <c r="W426" s="2"/>
      <c r="X426" s="2"/>
      <c r="Y426" s="2"/>
      <c r="Z426" s="1">
        <f ca="1">IF(Table1[[#This Row],[Inactive_Date]]="",DATEDIF(Table1[[#This Row],[Date_Acq]],TODAY(),"m"),DATEDIF(Table1[[#This Row],[Date_Acq]],Table1[[#This Row],[Inactive_Date]],"m"))</f>
        <v>12</v>
      </c>
    </row>
    <row r="427" spans="1:26" s="17" customFormat="1" x14ac:dyDescent="0.4">
      <c r="A427" s="6"/>
      <c r="B427" s="7"/>
      <c r="C427" s="4">
        <v>42307</v>
      </c>
      <c r="D427" s="2" t="s">
        <v>306</v>
      </c>
      <c r="E427" s="2" t="s">
        <v>723</v>
      </c>
      <c r="F427" s="2" t="s">
        <v>723</v>
      </c>
      <c r="G427" s="2">
        <v>1379</v>
      </c>
      <c r="H427" s="21">
        <v>57520</v>
      </c>
      <c r="I427" s="21" t="s">
        <v>13</v>
      </c>
      <c r="J427" s="2" t="s">
        <v>46</v>
      </c>
      <c r="K427" s="2" t="s">
        <v>39</v>
      </c>
      <c r="L427" s="2" t="s">
        <v>35</v>
      </c>
      <c r="M427" s="2"/>
      <c r="N427" s="2"/>
      <c r="O427" s="2"/>
      <c r="P427" s="2"/>
      <c r="Q427" s="2"/>
      <c r="R427" s="1"/>
      <c r="S427" s="2"/>
      <c r="T427" s="1"/>
      <c r="U427" s="1"/>
      <c r="V427" s="2"/>
      <c r="W427" s="2"/>
      <c r="X427" s="2"/>
      <c r="Y427" s="2"/>
      <c r="Z427" s="1">
        <f ca="1">IF(Table1[[#This Row],[Inactive_Date]]="",DATEDIF(Table1[[#This Row],[Date_Acq]],TODAY(),"m"),DATEDIF(Table1[[#This Row],[Date_Acq]],Table1[[#This Row],[Inactive_Date]],"m"))</f>
        <v>12</v>
      </c>
    </row>
    <row r="428" spans="1:26" s="16" customFormat="1" hidden="1" x14ac:dyDescent="0.4">
      <c r="A428" s="6"/>
      <c r="B428" s="7"/>
      <c r="C428" s="4">
        <v>42313</v>
      </c>
      <c r="D428" s="1" t="s">
        <v>301</v>
      </c>
      <c r="E428" s="1" t="s">
        <v>724</v>
      </c>
      <c r="F428" s="1" t="s">
        <v>724</v>
      </c>
      <c r="G428" s="1">
        <v>309</v>
      </c>
      <c r="H428" s="21">
        <v>56300</v>
      </c>
      <c r="I428" s="21" t="s">
        <v>13</v>
      </c>
      <c r="J428" s="1" t="s">
        <v>38</v>
      </c>
      <c r="K428" s="1" t="s">
        <v>34</v>
      </c>
      <c r="L428" s="1" t="s">
        <v>35</v>
      </c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>
        <f ca="1">IF(Table1[[#This Row],[Inactive_Date]]="",DATEDIF(Table1[[#This Row],[Date_Acq]],TODAY(),"m"),DATEDIF(Table1[[#This Row],[Date_Acq]],Table1[[#This Row],[Inactive_Date]],"m"))</f>
        <v>12</v>
      </c>
    </row>
    <row r="429" spans="1:26" s="16" customFormat="1" hidden="1" x14ac:dyDescent="0.4">
      <c r="A429" s="6"/>
      <c r="B429" s="7"/>
      <c r="C429" s="4">
        <v>42322</v>
      </c>
      <c r="D429" s="1" t="s">
        <v>208</v>
      </c>
      <c r="E429" s="1" t="s">
        <v>725</v>
      </c>
      <c r="F429" s="1" t="s">
        <v>725</v>
      </c>
      <c r="G429" s="1">
        <v>399.99</v>
      </c>
      <c r="H429" s="21">
        <v>56250</v>
      </c>
      <c r="I429" s="21" t="s">
        <v>13</v>
      </c>
      <c r="J429" s="1" t="s">
        <v>38</v>
      </c>
      <c r="K429" s="1" t="s">
        <v>34</v>
      </c>
      <c r="L429" s="1" t="s">
        <v>35</v>
      </c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>
        <f ca="1">IF(Table1[[#This Row],[Inactive_Date]]="",DATEDIF(Table1[[#This Row],[Date_Acq]],TODAY(),"m"),DATEDIF(Table1[[#This Row],[Date_Acq]],Table1[[#This Row],[Inactive_Date]],"m"))</f>
        <v>12</v>
      </c>
    </row>
    <row r="430" spans="1:26" s="16" customFormat="1" x14ac:dyDescent="0.4">
      <c r="A430" s="6"/>
      <c r="B430" s="7"/>
      <c r="C430" s="4">
        <v>42339</v>
      </c>
      <c r="D430" s="1" t="s">
        <v>208</v>
      </c>
      <c r="E430" s="1" t="s">
        <v>726</v>
      </c>
      <c r="F430" s="1" t="s">
        <v>727</v>
      </c>
      <c r="G430" s="1">
        <v>2699.94</v>
      </c>
      <c r="H430" s="21">
        <v>16115</v>
      </c>
      <c r="I430" s="21" t="s">
        <v>13</v>
      </c>
      <c r="J430" s="1" t="s">
        <v>38</v>
      </c>
      <c r="K430" s="1" t="s">
        <v>39</v>
      </c>
      <c r="L430" s="1" t="s">
        <v>35</v>
      </c>
      <c r="M430" s="1"/>
      <c r="N430" s="1" t="s">
        <v>677</v>
      </c>
      <c r="O430" s="1" t="s">
        <v>728</v>
      </c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>
        <f ca="1">IF(Table1[[#This Row],[Inactive_Date]]="",DATEDIF(Table1[[#This Row],[Date_Acq]],TODAY(),"m"),DATEDIF(Table1[[#This Row],[Date_Acq]],Table1[[#This Row],[Inactive_Date]],"m"))</f>
        <v>11</v>
      </c>
    </row>
    <row r="431" spans="1:26" s="16" customFormat="1" x14ac:dyDescent="0.4">
      <c r="A431" s="6"/>
      <c r="B431" s="7"/>
      <c r="C431" s="4">
        <v>42339</v>
      </c>
      <c r="D431" s="1"/>
      <c r="E431" s="1" t="s">
        <v>729</v>
      </c>
      <c r="F431" s="1" t="s">
        <v>729</v>
      </c>
      <c r="G431" s="1">
        <v>5960240.3799999999</v>
      </c>
      <c r="H431" s="21"/>
      <c r="I431" s="21" t="s">
        <v>13</v>
      </c>
      <c r="J431" s="1" t="s">
        <v>55</v>
      </c>
      <c r="K431" s="1" t="s">
        <v>730</v>
      </c>
      <c r="L431" s="1" t="s">
        <v>35</v>
      </c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>
        <f ca="1">IF(Table1[[#This Row],[Inactive_Date]]="",DATEDIF(Table1[[#This Row],[Date_Acq]],TODAY(),"m"),DATEDIF(Table1[[#This Row],[Date_Acq]],Table1[[#This Row],[Inactive_Date]],"m"))</f>
        <v>11</v>
      </c>
    </row>
    <row r="432" spans="1:26" s="16" customFormat="1" hidden="1" x14ac:dyDescent="0.4">
      <c r="A432" s="6"/>
      <c r="B432" s="7"/>
      <c r="C432" s="4">
        <v>42350</v>
      </c>
      <c r="D432" s="1" t="s">
        <v>301</v>
      </c>
      <c r="E432" s="1" t="s">
        <v>731</v>
      </c>
      <c r="F432" s="1" t="s">
        <v>731</v>
      </c>
      <c r="G432" s="1">
        <v>326</v>
      </c>
      <c r="H432" s="21">
        <v>56100</v>
      </c>
      <c r="I432" s="21" t="s">
        <v>13</v>
      </c>
      <c r="J432" s="1" t="s">
        <v>38</v>
      </c>
      <c r="K432" s="1" t="s">
        <v>34</v>
      </c>
      <c r="L432" s="1" t="s">
        <v>35</v>
      </c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>
        <f ca="1">IF(Table1[[#This Row],[Inactive_Date]]="",DATEDIF(Table1[[#This Row],[Date_Acq]],TODAY(),"m"),DATEDIF(Table1[[#This Row],[Date_Acq]],Table1[[#This Row],[Inactive_Date]],"m"))</f>
        <v>11</v>
      </c>
    </row>
    <row r="433" spans="1:26" s="16" customFormat="1" x14ac:dyDescent="0.4">
      <c r="A433" s="6"/>
      <c r="B433" s="7"/>
      <c r="C433" s="4">
        <v>42350</v>
      </c>
      <c r="D433" s="1" t="s">
        <v>732</v>
      </c>
      <c r="E433" s="1" t="s">
        <v>733</v>
      </c>
      <c r="F433" s="1" t="s">
        <v>733</v>
      </c>
      <c r="G433" s="1">
        <v>4900</v>
      </c>
      <c r="H433" s="21">
        <v>15450</v>
      </c>
      <c r="I433" s="21" t="s">
        <v>13</v>
      </c>
      <c r="J433" s="1" t="s">
        <v>55</v>
      </c>
      <c r="K433" s="1" t="s">
        <v>56</v>
      </c>
      <c r="L433" s="1" t="s">
        <v>35</v>
      </c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>
        <f ca="1">IF(Table1[[#This Row],[Inactive_Date]]="",DATEDIF(Table1[[#This Row],[Date_Acq]],TODAY(),"m"),DATEDIF(Table1[[#This Row],[Date_Acq]],Table1[[#This Row],[Inactive_Date]],"m"))</f>
        <v>11</v>
      </c>
    </row>
    <row r="434" spans="1:26" s="16" customFormat="1" x14ac:dyDescent="0.4">
      <c r="A434" s="6"/>
      <c r="B434" s="7"/>
      <c r="C434" s="4">
        <v>42369</v>
      </c>
      <c r="D434" s="1"/>
      <c r="E434" s="1" t="s">
        <v>734</v>
      </c>
      <c r="F434" s="1" t="s">
        <v>734</v>
      </c>
      <c r="G434" s="1">
        <v>226715.16</v>
      </c>
      <c r="H434" s="21"/>
      <c r="I434" s="21" t="s">
        <v>13</v>
      </c>
      <c r="J434" s="1" t="s">
        <v>55</v>
      </c>
      <c r="K434" s="1" t="s">
        <v>735</v>
      </c>
      <c r="L434" s="1" t="s">
        <v>736</v>
      </c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>
        <f ca="1">IF(Table1[[#This Row],[Inactive_Date]]="",DATEDIF(Table1[[#This Row],[Date_Acq]],TODAY(),"m"),DATEDIF(Table1[[#This Row],[Date_Acq]],Table1[[#This Row],[Inactive_Date]],"m"))</f>
        <v>10</v>
      </c>
    </row>
    <row r="435" spans="1:26" s="16" customFormat="1" x14ac:dyDescent="0.4">
      <c r="A435" s="6"/>
      <c r="B435" s="7"/>
      <c r="C435" s="4">
        <v>42369</v>
      </c>
      <c r="D435" s="1"/>
      <c r="E435" s="1" t="s">
        <v>737</v>
      </c>
      <c r="F435" s="1" t="s">
        <v>737</v>
      </c>
      <c r="G435" s="1">
        <v>550050</v>
      </c>
      <c r="H435" s="21"/>
      <c r="I435" s="21" t="s">
        <v>13</v>
      </c>
      <c r="J435" s="1" t="s">
        <v>55</v>
      </c>
      <c r="K435" s="1" t="s">
        <v>738</v>
      </c>
      <c r="L435" s="1" t="s">
        <v>736</v>
      </c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>
        <f ca="1">IF(Table1[[#This Row],[Inactive_Date]]="",DATEDIF(Table1[[#This Row],[Date_Acq]],TODAY(),"m"),DATEDIF(Table1[[#This Row],[Date_Acq]],Table1[[#This Row],[Inactive_Date]],"m"))</f>
        <v>10</v>
      </c>
    </row>
    <row r="436" spans="1:26" s="16" customFormat="1" x14ac:dyDescent="0.4">
      <c r="A436" s="6"/>
      <c r="B436" s="7"/>
      <c r="C436" s="4">
        <v>42369</v>
      </c>
      <c r="D436" s="1" t="s">
        <v>481</v>
      </c>
      <c r="E436" s="1" t="s">
        <v>739</v>
      </c>
      <c r="F436" s="1" t="s">
        <v>739</v>
      </c>
      <c r="G436" s="1">
        <v>539301.92000000004</v>
      </c>
      <c r="H436" s="21">
        <v>16115</v>
      </c>
      <c r="I436" s="21" t="s">
        <v>13</v>
      </c>
      <c r="J436" s="1" t="s">
        <v>38</v>
      </c>
      <c r="K436" s="1" t="s">
        <v>39</v>
      </c>
      <c r="L436" s="1" t="s">
        <v>35</v>
      </c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>
        <f ca="1">IF(Table1[[#This Row],[Inactive_Date]]="",DATEDIF(Table1[[#This Row],[Date_Acq]],TODAY(),"m"),DATEDIF(Table1[[#This Row],[Date_Acq]],Table1[[#This Row],[Inactive_Date]],"m"))</f>
        <v>10</v>
      </c>
    </row>
    <row r="437" spans="1:26" s="16" customFormat="1" x14ac:dyDescent="0.4">
      <c r="A437" s="6"/>
      <c r="B437" s="7"/>
      <c r="C437" s="4">
        <v>42369</v>
      </c>
      <c r="D437" s="1"/>
      <c r="E437" s="1" t="s">
        <v>740</v>
      </c>
      <c r="F437" s="1" t="s">
        <v>740</v>
      </c>
      <c r="G437" s="1">
        <v>113570.98</v>
      </c>
      <c r="H437" s="21">
        <v>15151</v>
      </c>
      <c r="I437" s="21" t="s">
        <v>13</v>
      </c>
      <c r="J437" s="1" t="s">
        <v>55</v>
      </c>
      <c r="K437" s="1" t="s">
        <v>730</v>
      </c>
      <c r="L437" s="1" t="s">
        <v>35</v>
      </c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>
        <f ca="1">IF(Table1[[#This Row],[Inactive_Date]]="",DATEDIF(Table1[[#This Row],[Date_Acq]],TODAY(),"m"),DATEDIF(Table1[[#This Row],[Date_Acq]],Table1[[#This Row],[Inactive_Date]],"m"))</f>
        <v>10</v>
      </c>
    </row>
    <row r="438" spans="1:26" s="16" customFormat="1" x14ac:dyDescent="0.4">
      <c r="A438" s="6"/>
      <c r="B438" s="7"/>
      <c r="C438" s="4">
        <v>42369</v>
      </c>
      <c r="D438" s="1" t="s">
        <v>481</v>
      </c>
      <c r="E438" s="1" t="s">
        <v>741</v>
      </c>
      <c r="F438" s="1" t="s">
        <v>741</v>
      </c>
      <c r="G438" s="1">
        <v>28206.74</v>
      </c>
      <c r="H438" s="21">
        <v>16115</v>
      </c>
      <c r="I438" s="21" t="s">
        <v>13</v>
      </c>
      <c r="J438" s="1" t="s">
        <v>38</v>
      </c>
      <c r="K438" s="1" t="s">
        <v>39</v>
      </c>
      <c r="L438" s="1" t="s">
        <v>35</v>
      </c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>
        <f ca="1">IF(Table1[[#This Row],[Inactive_Date]]="",DATEDIF(Table1[[#This Row],[Date_Acq]],TODAY(),"m"),DATEDIF(Table1[[#This Row],[Date_Acq]],Table1[[#This Row],[Inactive_Date]],"m"))</f>
        <v>10</v>
      </c>
    </row>
    <row r="439" spans="1:26" s="17" customFormat="1" hidden="1" x14ac:dyDescent="0.4">
      <c r="A439" s="6"/>
      <c r="B439" s="7"/>
      <c r="C439" s="4">
        <v>42370</v>
      </c>
      <c r="D439" s="2" t="s">
        <v>742</v>
      </c>
      <c r="E439" s="2" t="s">
        <v>743</v>
      </c>
      <c r="F439" s="2" t="s">
        <v>743</v>
      </c>
      <c r="G439" s="2">
        <v>536.61</v>
      </c>
      <c r="H439" s="21">
        <v>57520</v>
      </c>
      <c r="I439" s="21" t="s">
        <v>13</v>
      </c>
      <c r="J439" s="2" t="s">
        <v>46</v>
      </c>
      <c r="K439" s="2" t="s">
        <v>34</v>
      </c>
      <c r="L439" s="2" t="s">
        <v>35</v>
      </c>
      <c r="M439" s="2"/>
      <c r="N439" s="2"/>
      <c r="O439" s="2"/>
      <c r="P439" s="2"/>
      <c r="Q439" s="2"/>
      <c r="R439" s="1"/>
      <c r="S439" s="2"/>
      <c r="T439" s="1"/>
      <c r="U439" s="1"/>
      <c r="V439" s="2"/>
      <c r="W439" s="2"/>
      <c r="X439" s="2"/>
      <c r="Y439" s="2"/>
      <c r="Z439" s="1">
        <f ca="1">IF(Table1[[#This Row],[Inactive_Date]]="",DATEDIF(Table1[[#This Row],[Date_Acq]],TODAY(),"m"),DATEDIF(Table1[[#This Row],[Date_Acq]],Table1[[#This Row],[Inactive_Date]],"m"))</f>
        <v>10</v>
      </c>
    </row>
    <row r="440" spans="1:26" s="17" customFormat="1" hidden="1" x14ac:dyDescent="0.4">
      <c r="A440" s="6"/>
      <c r="B440" s="7"/>
      <c r="C440" s="4">
        <v>42370</v>
      </c>
      <c r="D440" s="2" t="s">
        <v>301</v>
      </c>
      <c r="E440" s="2" t="s">
        <v>744</v>
      </c>
      <c r="F440" s="2" t="s">
        <v>744</v>
      </c>
      <c r="G440" s="2">
        <v>297.8</v>
      </c>
      <c r="H440" s="21">
        <v>57590</v>
      </c>
      <c r="I440" s="21" t="s">
        <v>13</v>
      </c>
      <c r="J440" s="2" t="s">
        <v>46</v>
      </c>
      <c r="K440" s="2" t="s">
        <v>34</v>
      </c>
      <c r="L440" s="2" t="s">
        <v>35</v>
      </c>
      <c r="M440" s="2"/>
      <c r="N440" s="2"/>
      <c r="O440" s="2"/>
      <c r="P440" s="2"/>
      <c r="Q440" s="2"/>
      <c r="R440" s="1"/>
      <c r="S440" s="2"/>
      <c r="T440" s="1"/>
      <c r="U440" s="1"/>
      <c r="V440" s="2"/>
      <c r="W440" s="2"/>
      <c r="X440" s="2"/>
      <c r="Y440" s="2"/>
      <c r="Z440" s="1">
        <f ca="1">IF(Table1[[#This Row],[Inactive_Date]]="",DATEDIF(Table1[[#This Row],[Date_Acq]],TODAY(),"m"),DATEDIF(Table1[[#This Row],[Date_Acq]],Table1[[#This Row],[Inactive_Date]],"m"))</f>
        <v>10</v>
      </c>
    </row>
    <row r="441" spans="1:26" s="17" customFormat="1" x14ac:dyDescent="0.4">
      <c r="A441" s="6"/>
      <c r="B441" s="7"/>
      <c r="C441" s="4">
        <v>42378</v>
      </c>
      <c r="D441" s="2" t="s">
        <v>745</v>
      </c>
      <c r="E441" s="2" t="s">
        <v>746</v>
      </c>
      <c r="F441" s="2" t="s">
        <v>746</v>
      </c>
      <c r="G441" s="2">
        <v>1011</v>
      </c>
      <c r="H441" s="21">
        <v>57520</v>
      </c>
      <c r="I441" s="21" t="s">
        <v>13</v>
      </c>
      <c r="J441" s="2" t="s">
        <v>46</v>
      </c>
      <c r="K441" s="2" t="s">
        <v>39</v>
      </c>
      <c r="L441" s="2" t="s">
        <v>35</v>
      </c>
      <c r="M441" s="2"/>
      <c r="N441" s="2" t="s">
        <v>306</v>
      </c>
      <c r="O441" s="2"/>
      <c r="P441" s="2"/>
      <c r="Q441" s="2"/>
      <c r="R441" s="1"/>
      <c r="S441" s="2"/>
      <c r="T441" s="1"/>
      <c r="U441" s="1"/>
      <c r="V441" s="2"/>
      <c r="W441" s="2"/>
      <c r="X441" s="2"/>
      <c r="Y441" s="2"/>
      <c r="Z441" s="1">
        <f ca="1">IF(Table1[[#This Row],[Inactive_Date]]="",DATEDIF(Table1[[#This Row],[Date_Acq]],TODAY(),"m"),DATEDIF(Table1[[#This Row],[Date_Acq]],Table1[[#This Row],[Inactive_Date]],"m"))</f>
        <v>10</v>
      </c>
    </row>
    <row r="442" spans="1:26" s="17" customFormat="1" x14ac:dyDescent="0.4">
      <c r="A442" s="6"/>
      <c r="B442" s="7"/>
      <c r="C442" s="4">
        <v>42380</v>
      </c>
      <c r="D442" s="2" t="s">
        <v>745</v>
      </c>
      <c r="E442" s="2" t="s">
        <v>746</v>
      </c>
      <c r="F442" s="2" t="s">
        <v>746</v>
      </c>
      <c r="G442" s="2">
        <v>1011</v>
      </c>
      <c r="H442" s="21">
        <v>57520</v>
      </c>
      <c r="I442" s="21" t="s">
        <v>13</v>
      </c>
      <c r="J442" s="2" t="s">
        <v>46</v>
      </c>
      <c r="K442" s="2" t="s">
        <v>39</v>
      </c>
      <c r="L442" s="2" t="s">
        <v>35</v>
      </c>
      <c r="M442" s="2"/>
      <c r="N442" s="2" t="s">
        <v>306</v>
      </c>
      <c r="O442" s="2"/>
      <c r="P442" s="2"/>
      <c r="Q442" s="2"/>
      <c r="R442" s="1"/>
      <c r="S442" s="2"/>
      <c r="T442" s="1"/>
      <c r="U442" s="1"/>
      <c r="V442" s="2"/>
      <c r="W442" s="2"/>
      <c r="X442" s="2"/>
      <c r="Y442" s="2"/>
      <c r="Z442" s="1">
        <f ca="1">IF(Table1[[#This Row],[Inactive_Date]]="",DATEDIF(Table1[[#This Row],[Date_Acq]],TODAY(),"m"),DATEDIF(Table1[[#This Row],[Date_Acq]],Table1[[#This Row],[Inactive_Date]],"m"))</f>
        <v>10</v>
      </c>
    </row>
    <row r="443" spans="1:26" s="17" customFormat="1" hidden="1" x14ac:dyDescent="0.4">
      <c r="A443" s="6"/>
      <c r="B443" s="7"/>
      <c r="C443" s="4">
        <v>42388</v>
      </c>
      <c r="D443" s="2" t="s">
        <v>742</v>
      </c>
      <c r="E443" s="2" t="s">
        <v>747</v>
      </c>
      <c r="F443" s="2" t="s">
        <v>747</v>
      </c>
      <c r="G443" s="2">
        <v>536.61</v>
      </c>
      <c r="H443" s="21">
        <v>57520</v>
      </c>
      <c r="I443" s="21" t="s">
        <v>13</v>
      </c>
      <c r="J443" s="2" t="s">
        <v>46</v>
      </c>
      <c r="K443" s="2" t="s">
        <v>34</v>
      </c>
      <c r="L443" s="2" t="s">
        <v>35</v>
      </c>
      <c r="M443" s="2"/>
      <c r="N443" s="2"/>
      <c r="O443" s="2"/>
      <c r="P443" s="2"/>
      <c r="Q443" s="2"/>
      <c r="R443" s="1"/>
      <c r="S443" s="2"/>
      <c r="T443" s="1"/>
      <c r="U443" s="1"/>
      <c r="V443" s="2"/>
      <c r="W443" s="2"/>
      <c r="X443" s="2"/>
      <c r="Y443" s="2"/>
      <c r="Z443" s="1">
        <f ca="1">IF(Table1[[#This Row],[Inactive_Date]]="",DATEDIF(Table1[[#This Row],[Date_Acq]],TODAY(),"m"),DATEDIF(Table1[[#This Row],[Date_Acq]],Table1[[#This Row],[Inactive_Date]],"m"))</f>
        <v>10</v>
      </c>
    </row>
    <row r="444" spans="1:26" s="16" customFormat="1" x14ac:dyDescent="0.4">
      <c r="A444" s="6"/>
      <c r="B444" s="7"/>
      <c r="C444" s="4">
        <v>42389</v>
      </c>
      <c r="D444" s="1" t="s">
        <v>349</v>
      </c>
      <c r="E444" s="1" t="s">
        <v>748</v>
      </c>
      <c r="F444" s="1" t="s">
        <v>748</v>
      </c>
      <c r="G444" s="1">
        <v>5605.09</v>
      </c>
      <c r="H444" s="21">
        <v>56250</v>
      </c>
      <c r="I444" s="21" t="s">
        <v>13</v>
      </c>
      <c r="J444" s="1" t="s">
        <v>38</v>
      </c>
      <c r="K444" s="1" t="s">
        <v>39</v>
      </c>
      <c r="L444" s="1" t="s">
        <v>35</v>
      </c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>
        <f ca="1">IF(Table1[[#This Row],[Inactive_Date]]="",DATEDIF(Table1[[#This Row],[Date_Acq]],TODAY(),"m"),DATEDIF(Table1[[#This Row],[Date_Acq]],Table1[[#This Row],[Inactive_Date]],"m"))</f>
        <v>10</v>
      </c>
    </row>
    <row r="445" spans="1:26" s="16" customFormat="1" hidden="1" x14ac:dyDescent="0.4">
      <c r="A445" s="6"/>
      <c r="B445" s="7"/>
      <c r="C445" s="4">
        <v>42389</v>
      </c>
      <c r="D445" s="1" t="s">
        <v>749</v>
      </c>
      <c r="E445" s="1" t="s">
        <v>750</v>
      </c>
      <c r="F445" s="1" t="s">
        <v>750</v>
      </c>
      <c r="G445" s="1">
        <v>319.99</v>
      </c>
      <c r="H445" s="21">
        <v>57610</v>
      </c>
      <c r="I445" s="21" t="s">
        <v>13</v>
      </c>
      <c r="J445" s="1" t="s">
        <v>413</v>
      </c>
      <c r="K445" s="1" t="s">
        <v>34</v>
      </c>
      <c r="L445" s="1" t="s">
        <v>35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>
        <f ca="1">IF(Table1[[#This Row],[Inactive_Date]]="",DATEDIF(Table1[[#This Row],[Date_Acq]],TODAY(),"m"),DATEDIF(Table1[[#This Row],[Date_Acq]],Table1[[#This Row],[Inactive_Date]],"m"))</f>
        <v>10</v>
      </c>
    </row>
    <row r="446" spans="1:26" s="17" customFormat="1" hidden="1" x14ac:dyDescent="0.4">
      <c r="A446" s="6"/>
      <c r="B446" s="7"/>
      <c r="C446" s="4">
        <v>42396</v>
      </c>
      <c r="D446" s="2" t="s">
        <v>360</v>
      </c>
      <c r="E446" s="2" t="s">
        <v>751</v>
      </c>
      <c r="F446" s="2" t="s">
        <v>751</v>
      </c>
      <c r="G446" s="2">
        <v>2972.34</v>
      </c>
      <c r="H446" s="21">
        <v>57520</v>
      </c>
      <c r="I446" s="21" t="s">
        <v>13</v>
      </c>
      <c r="J446" s="2" t="s">
        <v>46</v>
      </c>
      <c r="K446" s="2" t="s">
        <v>34</v>
      </c>
      <c r="L446" s="2" t="s">
        <v>35</v>
      </c>
      <c r="M446" s="2"/>
      <c r="N446" s="2" t="s">
        <v>306</v>
      </c>
      <c r="O446" s="2"/>
      <c r="P446" s="2"/>
      <c r="Q446" s="2"/>
      <c r="R446" s="1"/>
      <c r="S446" s="2"/>
      <c r="T446" s="1"/>
      <c r="U446" s="1"/>
      <c r="V446" s="2"/>
      <c r="W446" s="2"/>
      <c r="X446" s="2"/>
      <c r="Y446" s="2"/>
      <c r="Z446" s="1">
        <f ca="1">IF(Table1[[#This Row],[Inactive_Date]]="",DATEDIF(Table1[[#This Row],[Date_Acq]],TODAY(),"m"),DATEDIF(Table1[[#This Row],[Date_Acq]],Table1[[#This Row],[Inactive_Date]],"m"))</f>
        <v>9</v>
      </c>
    </row>
    <row r="447" spans="1:26" s="17" customFormat="1" x14ac:dyDescent="0.4">
      <c r="A447" s="6"/>
      <c r="B447" s="7"/>
      <c r="C447" s="4">
        <v>42399</v>
      </c>
      <c r="D447" s="2" t="s">
        <v>360</v>
      </c>
      <c r="E447" s="2" t="s">
        <v>752</v>
      </c>
      <c r="F447" s="2" t="s">
        <v>752</v>
      </c>
      <c r="G447" s="2">
        <v>1171</v>
      </c>
      <c r="H447" s="21">
        <v>57520</v>
      </c>
      <c r="I447" s="21" t="s">
        <v>13</v>
      </c>
      <c r="J447" s="2" t="s">
        <v>46</v>
      </c>
      <c r="K447" s="2" t="s">
        <v>39</v>
      </c>
      <c r="L447" s="2" t="s">
        <v>35</v>
      </c>
      <c r="M447" s="2"/>
      <c r="N447" s="2"/>
      <c r="O447" s="2"/>
      <c r="P447" s="2"/>
      <c r="Q447" s="2"/>
      <c r="R447" s="1"/>
      <c r="S447" s="2"/>
      <c r="T447" s="1"/>
      <c r="U447" s="1"/>
      <c r="V447" s="2"/>
      <c r="W447" s="2"/>
      <c r="X447" s="2"/>
      <c r="Y447" s="2"/>
      <c r="Z447" s="1">
        <f ca="1">IF(Table1[[#This Row],[Inactive_Date]]="",DATEDIF(Table1[[#This Row],[Date_Acq]],TODAY(),"m"),DATEDIF(Table1[[#This Row],[Date_Acq]],Table1[[#This Row],[Inactive_Date]],"m"))</f>
        <v>9</v>
      </c>
    </row>
    <row r="448" spans="1:26" s="17" customFormat="1" x14ac:dyDescent="0.4">
      <c r="A448" s="6"/>
      <c r="B448" s="7"/>
      <c r="C448" s="4">
        <v>42402</v>
      </c>
      <c r="D448" s="2" t="s">
        <v>753</v>
      </c>
      <c r="E448" s="2" t="s">
        <v>754</v>
      </c>
      <c r="F448" s="2" t="s">
        <v>754</v>
      </c>
      <c r="G448" s="2">
        <v>1320.09</v>
      </c>
      <c r="H448" s="21">
        <v>57520</v>
      </c>
      <c r="I448" s="21" t="s">
        <v>13</v>
      </c>
      <c r="J448" s="2" t="s">
        <v>46</v>
      </c>
      <c r="K448" s="2" t="s">
        <v>39</v>
      </c>
      <c r="L448" s="2" t="s">
        <v>35</v>
      </c>
      <c r="M448" s="2"/>
      <c r="N448" s="2"/>
      <c r="O448" s="2"/>
      <c r="P448" s="2"/>
      <c r="Q448" s="2"/>
      <c r="R448" s="1"/>
      <c r="S448" s="2"/>
      <c r="T448" s="1"/>
      <c r="U448" s="1"/>
      <c r="V448" s="2"/>
      <c r="W448" s="2"/>
      <c r="X448" s="2"/>
      <c r="Y448" s="2"/>
      <c r="Z448" s="1">
        <f ca="1">IF(Table1[[#This Row],[Inactive_Date]]="",DATEDIF(Table1[[#This Row],[Date_Acq]],TODAY(),"m"),DATEDIF(Table1[[#This Row],[Date_Acq]],Table1[[#This Row],[Inactive_Date]],"m"))</f>
        <v>9</v>
      </c>
    </row>
    <row r="449" spans="1:26" s="16" customFormat="1" hidden="1" x14ac:dyDescent="0.4">
      <c r="A449" s="6"/>
      <c r="B449" s="7"/>
      <c r="C449" s="4">
        <v>42404</v>
      </c>
      <c r="D449" s="1" t="s">
        <v>755</v>
      </c>
      <c r="E449" s="1" t="s">
        <v>756</v>
      </c>
      <c r="F449" s="1" t="s">
        <v>756</v>
      </c>
      <c r="G449" s="1">
        <v>399.98</v>
      </c>
      <c r="H449" s="21">
        <v>54250</v>
      </c>
      <c r="I449" s="21" t="s">
        <v>13</v>
      </c>
      <c r="J449" s="1" t="s">
        <v>33</v>
      </c>
      <c r="K449" s="1" t="s">
        <v>34</v>
      </c>
      <c r="L449" s="1" t="s">
        <v>35</v>
      </c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>
        <f ca="1">IF(Table1[[#This Row],[Inactive_Date]]="",DATEDIF(Table1[[#This Row],[Date_Acq]],TODAY(),"m"),DATEDIF(Table1[[#This Row],[Date_Acq]],Table1[[#This Row],[Inactive_Date]],"m"))</f>
        <v>9</v>
      </c>
    </row>
    <row r="450" spans="1:26" s="17" customFormat="1" hidden="1" x14ac:dyDescent="0.4">
      <c r="A450" s="6"/>
      <c r="B450" s="7"/>
      <c r="C450" s="4">
        <v>42405</v>
      </c>
      <c r="D450" s="2" t="s">
        <v>301</v>
      </c>
      <c r="E450" s="2" t="s">
        <v>757</v>
      </c>
      <c r="F450" s="2" t="s">
        <v>757</v>
      </c>
      <c r="G450" s="2">
        <v>393.29</v>
      </c>
      <c r="H450" s="21">
        <v>57520</v>
      </c>
      <c r="I450" s="21" t="s">
        <v>13</v>
      </c>
      <c r="J450" s="2" t="s">
        <v>46</v>
      </c>
      <c r="K450" s="2" t="s">
        <v>34</v>
      </c>
      <c r="L450" s="2" t="s">
        <v>35</v>
      </c>
      <c r="M450" s="2"/>
      <c r="N450" s="2"/>
      <c r="O450" s="2"/>
      <c r="P450" s="2"/>
      <c r="Q450" s="2"/>
      <c r="R450" s="1"/>
      <c r="S450" s="2"/>
      <c r="T450" s="1"/>
      <c r="U450" s="1"/>
      <c r="V450" s="2"/>
      <c r="W450" s="2"/>
      <c r="X450" s="2"/>
      <c r="Y450" s="2"/>
      <c r="Z450" s="1">
        <f ca="1">IF(Table1[[#This Row],[Inactive_Date]]="",DATEDIF(Table1[[#This Row],[Date_Acq]],TODAY(),"m"),DATEDIF(Table1[[#This Row],[Date_Acq]],Table1[[#This Row],[Inactive_Date]],"m"))</f>
        <v>9</v>
      </c>
    </row>
    <row r="451" spans="1:26" s="16" customFormat="1" hidden="1" x14ac:dyDescent="0.4">
      <c r="A451" s="6"/>
      <c r="B451" s="7"/>
      <c r="C451" s="4">
        <v>42409</v>
      </c>
      <c r="D451" s="1" t="s">
        <v>604</v>
      </c>
      <c r="E451" s="1" t="s">
        <v>758</v>
      </c>
      <c r="F451" s="1" t="s">
        <v>758</v>
      </c>
      <c r="G451" s="1">
        <v>295</v>
      </c>
      <c r="H451" s="21">
        <v>56250</v>
      </c>
      <c r="I451" s="21" t="s">
        <v>13</v>
      </c>
      <c r="J451" s="1" t="s">
        <v>38</v>
      </c>
      <c r="K451" s="1" t="s">
        <v>34</v>
      </c>
      <c r="L451" s="1" t="s">
        <v>35</v>
      </c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>
        <f ca="1">IF(Table1[[#This Row],[Inactive_Date]]="",DATEDIF(Table1[[#This Row],[Date_Acq]],TODAY(),"m"),DATEDIF(Table1[[#This Row],[Date_Acq]],Table1[[#This Row],[Inactive_Date]],"m"))</f>
        <v>9</v>
      </c>
    </row>
    <row r="452" spans="1:26" s="17" customFormat="1" x14ac:dyDescent="0.4">
      <c r="A452" s="6"/>
      <c r="B452" s="7"/>
      <c r="C452" s="4">
        <v>42417</v>
      </c>
      <c r="D452" s="2" t="s">
        <v>753</v>
      </c>
      <c r="E452" s="2" t="s">
        <v>759</v>
      </c>
      <c r="F452" s="2" t="s">
        <v>759</v>
      </c>
      <c r="G452" s="2">
        <v>1550</v>
      </c>
      <c r="H452" s="21">
        <v>57520</v>
      </c>
      <c r="I452" s="21" t="s">
        <v>13</v>
      </c>
      <c r="J452" s="2" t="s">
        <v>46</v>
      </c>
      <c r="K452" s="2" t="s">
        <v>39</v>
      </c>
      <c r="L452" s="2" t="s">
        <v>35</v>
      </c>
      <c r="M452" s="2"/>
      <c r="N452" s="2"/>
      <c r="O452" s="2"/>
      <c r="P452" s="2"/>
      <c r="Q452" s="2"/>
      <c r="R452" s="1"/>
      <c r="S452" s="2"/>
      <c r="T452" s="1"/>
      <c r="U452" s="1"/>
      <c r="V452" s="2"/>
      <c r="W452" s="2"/>
      <c r="X452" s="2"/>
      <c r="Y452" s="2"/>
      <c r="Z452" s="1">
        <f ca="1">IF(Table1[[#This Row],[Inactive_Date]]="",DATEDIF(Table1[[#This Row],[Date_Acq]],TODAY(),"m"),DATEDIF(Table1[[#This Row],[Date_Acq]],Table1[[#This Row],[Inactive_Date]],"m"))</f>
        <v>9</v>
      </c>
    </row>
    <row r="453" spans="1:26" s="16" customFormat="1" hidden="1" x14ac:dyDescent="0.4">
      <c r="A453" s="6"/>
      <c r="B453" s="7"/>
      <c r="C453" s="4">
        <v>42424</v>
      </c>
      <c r="D453" s="1" t="s">
        <v>301</v>
      </c>
      <c r="E453" s="1" t="s">
        <v>760</v>
      </c>
      <c r="F453" s="1" t="s">
        <v>760</v>
      </c>
      <c r="G453" s="1">
        <v>590</v>
      </c>
      <c r="H453" s="21">
        <v>57510</v>
      </c>
      <c r="I453" s="21" t="s">
        <v>13</v>
      </c>
      <c r="J453" s="1" t="s">
        <v>509</v>
      </c>
      <c r="K453" s="1" t="s">
        <v>34</v>
      </c>
      <c r="L453" s="1" t="s">
        <v>35</v>
      </c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>
        <f ca="1">IF(Table1[[#This Row],[Inactive_Date]]="",DATEDIF(Table1[[#This Row],[Date_Acq]],TODAY(),"m"),DATEDIF(Table1[[#This Row],[Date_Acq]],Table1[[#This Row],[Inactive_Date]],"m"))</f>
        <v>8</v>
      </c>
    </row>
    <row r="454" spans="1:26" s="16" customFormat="1" hidden="1" x14ac:dyDescent="0.4">
      <c r="A454" s="6"/>
      <c r="B454" s="7"/>
      <c r="C454" s="4">
        <v>42432</v>
      </c>
      <c r="D454" s="1" t="s">
        <v>301</v>
      </c>
      <c r="E454" s="1" t="s">
        <v>761</v>
      </c>
      <c r="F454" s="1" t="s">
        <v>761</v>
      </c>
      <c r="G454" s="1">
        <v>209.95</v>
      </c>
      <c r="H454" s="21">
        <v>56150</v>
      </c>
      <c r="I454" s="21" t="s">
        <v>13</v>
      </c>
      <c r="J454" s="1" t="s">
        <v>38</v>
      </c>
      <c r="K454" s="1" t="s">
        <v>34</v>
      </c>
      <c r="L454" s="1" t="s">
        <v>35</v>
      </c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>
        <f ca="1">IF(Table1[[#This Row],[Inactive_Date]]="",DATEDIF(Table1[[#This Row],[Date_Acq]],TODAY(),"m"),DATEDIF(Table1[[#This Row],[Date_Acq]],Table1[[#This Row],[Inactive_Date]],"m"))</f>
        <v>8</v>
      </c>
    </row>
    <row r="455" spans="1:26" s="17" customFormat="1" hidden="1" x14ac:dyDescent="0.4">
      <c r="A455" s="6"/>
      <c r="B455" s="7"/>
      <c r="C455" s="4">
        <v>42441</v>
      </c>
      <c r="D455" s="2" t="s">
        <v>360</v>
      </c>
      <c r="E455" s="2" t="s">
        <v>762</v>
      </c>
      <c r="F455" s="2" t="s">
        <v>762</v>
      </c>
      <c r="G455" s="2">
        <v>1951.56</v>
      </c>
      <c r="H455" s="21">
        <v>57520</v>
      </c>
      <c r="I455" s="21" t="s">
        <v>13</v>
      </c>
      <c r="J455" s="2" t="s">
        <v>46</v>
      </c>
      <c r="K455" s="2" t="s">
        <v>34</v>
      </c>
      <c r="L455" s="2" t="s">
        <v>35</v>
      </c>
      <c r="M455" s="2"/>
      <c r="N455" s="2" t="s">
        <v>306</v>
      </c>
      <c r="O455" s="2"/>
      <c r="P455" s="2"/>
      <c r="Q455" s="2"/>
      <c r="R455" s="1"/>
      <c r="S455" s="2"/>
      <c r="T455" s="1"/>
      <c r="U455" s="1"/>
      <c r="V455" s="2"/>
      <c r="W455" s="2"/>
      <c r="X455" s="2"/>
      <c r="Y455" s="2"/>
      <c r="Z455" s="1">
        <f ca="1">IF(Table1[[#This Row],[Inactive_Date]]="",DATEDIF(Table1[[#This Row],[Date_Acq]],TODAY(),"m"),DATEDIF(Table1[[#This Row],[Date_Acq]],Table1[[#This Row],[Inactive_Date]],"m"))</f>
        <v>8</v>
      </c>
    </row>
    <row r="456" spans="1:26" s="16" customFormat="1" x14ac:dyDescent="0.4">
      <c r="A456" s="6"/>
      <c r="B456" s="7"/>
      <c r="C456" s="4">
        <v>42444</v>
      </c>
      <c r="D456" s="1" t="s">
        <v>763</v>
      </c>
      <c r="E456" s="1" t="s">
        <v>764</v>
      </c>
      <c r="F456" s="1" t="s">
        <v>764</v>
      </c>
      <c r="G456" s="1">
        <v>1050</v>
      </c>
      <c r="H456" s="21">
        <v>56250</v>
      </c>
      <c r="I456" s="21" t="s">
        <v>13</v>
      </c>
      <c r="J456" s="1" t="s">
        <v>38</v>
      </c>
      <c r="K456" s="1" t="s">
        <v>39</v>
      </c>
      <c r="L456" s="1" t="s">
        <v>35</v>
      </c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>
        <f ca="1">IF(Table1[[#This Row],[Inactive_Date]]="",DATEDIF(Table1[[#This Row],[Date_Acq]],TODAY(),"m"),DATEDIF(Table1[[#This Row],[Date_Acq]],Table1[[#This Row],[Inactive_Date]],"m"))</f>
        <v>8</v>
      </c>
    </row>
    <row r="457" spans="1:26" s="17" customFormat="1" x14ac:dyDescent="0.4">
      <c r="A457" s="6"/>
      <c r="B457" s="7"/>
      <c r="C457" s="4">
        <v>42447</v>
      </c>
      <c r="D457" s="2" t="s">
        <v>753</v>
      </c>
      <c r="E457" s="2" t="s">
        <v>759</v>
      </c>
      <c r="F457" s="2" t="s">
        <v>759</v>
      </c>
      <c r="G457" s="2">
        <v>1000</v>
      </c>
      <c r="H457" s="21">
        <v>57520</v>
      </c>
      <c r="I457" s="21" t="s">
        <v>13</v>
      </c>
      <c r="J457" s="2" t="s">
        <v>46</v>
      </c>
      <c r="K457" s="2" t="s">
        <v>39</v>
      </c>
      <c r="L457" s="2" t="s">
        <v>35</v>
      </c>
      <c r="M457" s="2"/>
      <c r="N457" s="2"/>
      <c r="O457" s="2"/>
      <c r="P457" s="2"/>
      <c r="Q457" s="2"/>
      <c r="R457" s="1"/>
      <c r="S457" s="2"/>
      <c r="T457" s="1"/>
      <c r="U457" s="1"/>
      <c r="V457" s="2"/>
      <c r="W457" s="2"/>
      <c r="X457" s="2"/>
      <c r="Y457" s="2"/>
      <c r="Z457" s="1">
        <f ca="1">IF(Table1[[#This Row],[Inactive_Date]]="",DATEDIF(Table1[[#This Row],[Date_Acq]],TODAY(),"m"),DATEDIF(Table1[[#This Row],[Date_Acq]],Table1[[#This Row],[Inactive_Date]],"m"))</f>
        <v>8</v>
      </c>
    </row>
    <row r="458" spans="1:26" s="16" customFormat="1" hidden="1" x14ac:dyDescent="0.4">
      <c r="A458" s="6"/>
      <c r="B458" s="7"/>
      <c r="C458" s="4">
        <v>42447</v>
      </c>
      <c r="D458" s="1" t="s">
        <v>85</v>
      </c>
      <c r="E458" s="1" t="s">
        <v>765</v>
      </c>
      <c r="F458" s="1" t="s">
        <v>765</v>
      </c>
      <c r="G458" s="1">
        <v>249</v>
      </c>
      <c r="H458" s="21">
        <v>57810</v>
      </c>
      <c r="I458" s="21" t="s">
        <v>13</v>
      </c>
      <c r="J458" s="1" t="s">
        <v>73</v>
      </c>
      <c r="K458" s="1" t="s">
        <v>34</v>
      </c>
      <c r="L458" s="1" t="s">
        <v>35</v>
      </c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>
        <f ca="1">IF(Table1[[#This Row],[Inactive_Date]]="",DATEDIF(Table1[[#This Row],[Date_Acq]],TODAY(),"m"),DATEDIF(Table1[[#This Row],[Date_Acq]],Table1[[#This Row],[Inactive_Date]],"m"))</f>
        <v>8</v>
      </c>
    </row>
    <row r="459" spans="1:26" s="16" customFormat="1" hidden="1" x14ac:dyDescent="0.4">
      <c r="A459" s="6"/>
      <c r="B459" s="7"/>
      <c r="C459" s="4">
        <v>42448</v>
      </c>
      <c r="D459" s="1" t="s">
        <v>766</v>
      </c>
      <c r="E459" s="1" t="s">
        <v>767</v>
      </c>
      <c r="F459" s="1" t="s">
        <v>767</v>
      </c>
      <c r="G459" s="1">
        <v>469.99</v>
      </c>
      <c r="H459" s="21">
        <v>56100</v>
      </c>
      <c r="I459" s="21" t="s">
        <v>13</v>
      </c>
      <c r="J459" s="1" t="s">
        <v>38</v>
      </c>
      <c r="K459" s="1" t="s">
        <v>34</v>
      </c>
      <c r="L459" s="1" t="s">
        <v>35</v>
      </c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>
        <f ca="1">IF(Table1[[#This Row],[Inactive_Date]]="",DATEDIF(Table1[[#This Row],[Date_Acq]],TODAY(),"m"),DATEDIF(Table1[[#This Row],[Date_Acq]],Table1[[#This Row],[Inactive_Date]],"m"))</f>
        <v>8</v>
      </c>
    </row>
    <row r="460" spans="1:26" s="17" customFormat="1" hidden="1" x14ac:dyDescent="0.4">
      <c r="A460" s="6"/>
      <c r="B460" s="7"/>
      <c r="C460" s="4">
        <v>42451</v>
      </c>
      <c r="D460" s="2" t="s">
        <v>753</v>
      </c>
      <c r="E460" s="2" t="s">
        <v>759</v>
      </c>
      <c r="F460" s="2" t="s">
        <v>759</v>
      </c>
      <c r="G460" s="2">
        <v>899.99</v>
      </c>
      <c r="H460" s="21">
        <v>57520</v>
      </c>
      <c r="I460" s="21" t="s">
        <v>13</v>
      </c>
      <c r="J460" s="2" t="s">
        <v>46</v>
      </c>
      <c r="K460" s="2" t="s">
        <v>34</v>
      </c>
      <c r="L460" s="2" t="s">
        <v>35</v>
      </c>
      <c r="M460" s="2"/>
      <c r="N460" s="2"/>
      <c r="O460" s="2"/>
      <c r="P460" s="2"/>
      <c r="Q460" s="2"/>
      <c r="R460" s="1"/>
      <c r="S460" s="2"/>
      <c r="T460" s="1"/>
      <c r="U460" s="1"/>
      <c r="V460" s="2"/>
      <c r="W460" s="2"/>
      <c r="X460" s="2"/>
      <c r="Y460" s="2"/>
      <c r="Z460" s="1">
        <f ca="1">IF(Table1[[#This Row],[Inactive_Date]]="",DATEDIF(Table1[[#This Row],[Date_Acq]],TODAY(),"m"),DATEDIF(Table1[[#This Row],[Date_Acq]],Table1[[#This Row],[Inactive_Date]],"m"))</f>
        <v>8</v>
      </c>
    </row>
    <row r="461" spans="1:26" s="16" customFormat="1" hidden="1" x14ac:dyDescent="0.4">
      <c r="A461" s="6"/>
      <c r="B461" s="7"/>
      <c r="C461" s="4">
        <v>42459</v>
      </c>
      <c r="D461" s="1" t="s">
        <v>624</v>
      </c>
      <c r="E461" s="1" t="s">
        <v>768</v>
      </c>
      <c r="F461" s="1" t="s">
        <v>768</v>
      </c>
      <c r="G461" s="1">
        <v>739.9</v>
      </c>
      <c r="H461" s="21">
        <v>56200</v>
      </c>
      <c r="I461" s="21" t="s">
        <v>13</v>
      </c>
      <c r="J461" s="1" t="s">
        <v>38</v>
      </c>
      <c r="K461" s="1" t="s">
        <v>34</v>
      </c>
      <c r="L461" s="1" t="s">
        <v>35</v>
      </c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>
        <f ca="1">IF(Table1[[#This Row],[Inactive_Date]]="",DATEDIF(Table1[[#This Row],[Date_Acq]],TODAY(),"m"),DATEDIF(Table1[[#This Row],[Date_Acq]],Table1[[#This Row],[Inactive_Date]],"m"))</f>
        <v>7</v>
      </c>
    </row>
    <row r="462" spans="1:26" s="17" customFormat="1" hidden="1" x14ac:dyDescent="0.4">
      <c r="A462" s="6"/>
      <c r="B462" s="7"/>
      <c r="C462" s="4">
        <v>42460</v>
      </c>
      <c r="D462" s="2" t="s">
        <v>665</v>
      </c>
      <c r="E462" s="2" t="s">
        <v>769</v>
      </c>
      <c r="F462" s="2" t="s">
        <v>769</v>
      </c>
      <c r="G462" s="2">
        <v>658</v>
      </c>
      <c r="H462" s="21">
        <v>57520</v>
      </c>
      <c r="I462" s="21" t="s">
        <v>13</v>
      </c>
      <c r="J462" s="2" t="s">
        <v>46</v>
      </c>
      <c r="K462" s="2" t="s">
        <v>34</v>
      </c>
      <c r="L462" s="2" t="s">
        <v>35</v>
      </c>
      <c r="M462" s="2"/>
      <c r="N462" s="2"/>
      <c r="O462" s="2"/>
      <c r="P462" s="2"/>
      <c r="Q462" s="2"/>
      <c r="R462" s="1"/>
      <c r="S462" s="2"/>
      <c r="T462" s="1"/>
      <c r="U462" s="1"/>
      <c r="V462" s="2"/>
      <c r="W462" s="2"/>
      <c r="X462" s="2"/>
      <c r="Y462" s="2"/>
      <c r="Z462" s="1">
        <f ca="1">IF(Table1[[#This Row],[Inactive_Date]]="",DATEDIF(Table1[[#This Row],[Date_Acq]],TODAY(),"m"),DATEDIF(Table1[[#This Row],[Date_Acq]],Table1[[#This Row],[Inactive_Date]],"m"))</f>
        <v>7</v>
      </c>
    </row>
    <row r="463" spans="1:26" s="16" customFormat="1" hidden="1" x14ac:dyDescent="0.4">
      <c r="A463" s="6"/>
      <c r="B463" s="7"/>
      <c r="C463" s="4">
        <v>42464</v>
      </c>
      <c r="D463" s="1" t="s">
        <v>770</v>
      </c>
      <c r="E463" s="1" t="s">
        <v>771</v>
      </c>
      <c r="F463" s="1" t="s">
        <v>771</v>
      </c>
      <c r="G463" s="1">
        <v>420</v>
      </c>
      <c r="H463" s="21">
        <v>56200</v>
      </c>
      <c r="I463" s="21" t="s">
        <v>13</v>
      </c>
      <c r="J463" s="1" t="s">
        <v>38</v>
      </c>
      <c r="K463" s="1" t="s">
        <v>34</v>
      </c>
      <c r="L463" s="1" t="s">
        <v>35</v>
      </c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>
        <f ca="1">IF(Table1[[#This Row],[Inactive_Date]]="",DATEDIF(Table1[[#This Row],[Date_Acq]],TODAY(),"m"),DATEDIF(Table1[[#This Row],[Date_Acq]],Table1[[#This Row],[Inactive_Date]],"m"))</f>
        <v>7</v>
      </c>
    </row>
    <row r="464" spans="1:26" s="17" customFormat="1" hidden="1" x14ac:dyDescent="0.4">
      <c r="A464" s="6"/>
      <c r="B464" s="7"/>
      <c r="C464" s="4">
        <v>42464</v>
      </c>
      <c r="D464" s="2" t="s">
        <v>301</v>
      </c>
      <c r="E464" s="2" t="s">
        <v>772</v>
      </c>
      <c r="F464" s="2"/>
      <c r="G464" s="2">
        <v>218.7</v>
      </c>
      <c r="H464" s="21">
        <v>57520</v>
      </c>
      <c r="I464" s="21" t="s">
        <v>13</v>
      </c>
      <c r="J464" s="2" t="s">
        <v>46</v>
      </c>
      <c r="K464" s="2" t="s">
        <v>34</v>
      </c>
      <c r="L464" s="2" t="s">
        <v>35</v>
      </c>
      <c r="M464" s="2"/>
      <c r="N464" s="2" t="s">
        <v>102</v>
      </c>
      <c r="O464" s="2"/>
      <c r="P464" s="2"/>
      <c r="Q464" s="2"/>
      <c r="R464" s="1"/>
      <c r="S464" s="2"/>
      <c r="T464" s="1"/>
      <c r="U464" s="1"/>
      <c r="V464" s="2"/>
      <c r="W464" s="2"/>
      <c r="X464" s="2"/>
      <c r="Y464" s="2"/>
      <c r="Z464" s="1">
        <f ca="1">IF(Table1[[#This Row],[Inactive_Date]]="",DATEDIF(Table1[[#This Row],[Date_Acq]],TODAY(),"m"),DATEDIF(Table1[[#This Row],[Date_Acq]],Table1[[#This Row],[Inactive_Date]],"m"))</f>
        <v>7</v>
      </c>
    </row>
    <row r="465" spans="1:26" s="16" customFormat="1" hidden="1" x14ac:dyDescent="0.4">
      <c r="A465" s="6"/>
      <c r="B465" s="7"/>
      <c r="C465" s="4">
        <v>42468</v>
      </c>
      <c r="D465" s="1" t="s">
        <v>719</v>
      </c>
      <c r="E465" s="1" t="s">
        <v>773</v>
      </c>
      <c r="F465" s="1" t="s">
        <v>773</v>
      </c>
      <c r="G465" s="1">
        <v>375.25</v>
      </c>
      <c r="H465" s="21">
        <v>57840</v>
      </c>
      <c r="I465" s="21" t="s">
        <v>13</v>
      </c>
      <c r="J465" s="1" t="s">
        <v>73</v>
      </c>
      <c r="K465" s="1" t="s">
        <v>34</v>
      </c>
      <c r="L465" s="1" t="s">
        <v>35</v>
      </c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>
        <f ca="1">IF(Table1[[#This Row],[Inactive_Date]]="",DATEDIF(Table1[[#This Row],[Date_Acq]],TODAY(),"m"),DATEDIF(Table1[[#This Row],[Date_Acq]],Table1[[#This Row],[Inactive_Date]],"m"))</f>
        <v>7</v>
      </c>
    </row>
    <row r="466" spans="1:26" s="17" customFormat="1" hidden="1" x14ac:dyDescent="0.4">
      <c r="A466" s="6"/>
      <c r="B466" s="7"/>
      <c r="C466" s="4">
        <v>42473</v>
      </c>
      <c r="D466" s="2" t="s">
        <v>774</v>
      </c>
      <c r="E466" s="2" t="s">
        <v>775</v>
      </c>
      <c r="F466" s="2" t="s">
        <v>775</v>
      </c>
      <c r="G466" s="2">
        <v>563</v>
      </c>
      <c r="H466" s="21">
        <v>57520</v>
      </c>
      <c r="I466" s="21" t="s">
        <v>13</v>
      </c>
      <c r="J466" s="2" t="s">
        <v>46</v>
      </c>
      <c r="K466" s="2" t="s">
        <v>34</v>
      </c>
      <c r="L466" s="2" t="s">
        <v>35</v>
      </c>
      <c r="M466" s="2"/>
      <c r="N466" s="2"/>
      <c r="O466" s="2"/>
      <c r="P466" s="2"/>
      <c r="Q466" s="2"/>
      <c r="R466" s="1"/>
      <c r="S466" s="2"/>
      <c r="T466" s="1"/>
      <c r="U466" s="1"/>
      <c r="V466" s="2"/>
      <c r="W466" s="2"/>
      <c r="X466" s="2"/>
      <c r="Y466" s="2"/>
      <c r="Z466" s="1">
        <f ca="1">IF(Table1[[#This Row],[Inactive_Date]]="",DATEDIF(Table1[[#This Row],[Date_Acq]],TODAY(),"m"),DATEDIF(Table1[[#This Row],[Date_Acq]],Table1[[#This Row],[Inactive_Date]],"m"))</f>
        <v>7</v>
      </c>
    </row>
    <row r="467" spans="1:26" s="16" customFormat="1" hidden="1" x14ac:dyDescent="0.4">
      <c r="A467" s="6"/>
      <c r="B467" s="7"/>
      <c r="C467" s="4">
        <v>42474</v>
      </c>
      <c r="D467" s="1" t="s">
        <v>248</v>
      </c>
      <c r="E467" s="1" t="s">
        <v>776</v>
      </c>
      <c r="F467" s="1" t="s">
        <v>776</v>
      </c>
      <c r="G467" s="1">
        <v>399</v>
      </c>
      <c r="H467" s="21">
        <v>57840</v>
      </c>
      <c r="I467" s="21" t="s">
        <v>13</v>
      </c>
      <c r="J467" s="1" t="s">
        <v>73</v>
      </c>
      <c r="K467" s="1" t="s">
        <v>34</v>
      </c>
      <c r="L467" s="1" t="s">
        <v>35</v>
      </c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>
        <f ca="1">IF(Table1[[#This Row],[Inactive_Date]]="",DATEDIF(Table1[[#This Row],[Date_Acq]],TODAY(),"m"),DATEDIF(Table1[[#This Row],[Date_Acq]],Table1[[#This Row],[Inactive_Date]],"m"))</f>
        <v>7</v>
      </c>
    </row>
    <row r="468" spans="1:26" s="17" customFormat="1" hidden="1" x14ac:dyDescent="0.4">
      <c r="A468" s="6"/>
      <c r="B468" s="7"/>
      <c r="C468" s="4">
        <v>42479</v>
      </c>
      <c r="D468" s="2" t="s">
        <v>301</v>
      </c>
      <c r="E468" s="2" t="s">
        <v>777</v>
      </c>
      <c r="F468" s="2" t="s">
        <v>777</v>
      </c>
      <c r="G468" s="2">
        <v>719.99</v>
      </c>
      <c r="H468" s="21">
        <v>57520</v>
      </c>
      <c r="I468" s="21" t="s">
        <v>13</v>
      </c>
      <c r="J468" s="2" t="s">
        <v>46</v>
      </c>
      <c r="K468" s="2" t="s">
        <v>34</v>
      </c>
      <c r="L468" s="2" t="s">
        <v>35</v>
      </c>
      <c r="M468" s="2"/>
      <c r="N468" s="2" t="s">
        <v>306</v>
      </c>
      <c r="O468" s="2"/>
      <c r="P468" s="2"/>
      <c r="Q468" s="2"/>
      <c r="R468" s="1"/>
      <c r="S468" s="2"/>
      <c r="T468" s="1"/>
      <c r="U468" s="1"/>
      <c r="V468" s="2"/>
      <c r="W468" s="2"/>
      <c r="X468" s="2"/>
      <c r="Y468" s="2"/>
      <c r="Z468" s="1">
        <f ca="1">IF(Table1[[#This Row],[Inactive_Date]]="",DATEDIF(Table1[[#This Row],[Date_Acq]],TODAY(),"m"),DATEDIF(Table1[[#This Row],[Date_Acq]],Table1[[#This Row],[Inactive_Date]],"m"))</f>
        <v>7</v>
      </c>
    </row>
    <row r="469" spans="1:26" s="17" customFormat="1" hidden="1" x14ac:dyDescent="0.4">
      <c r="A469" s="6"/>
      <c r="B469" s="7"/>
      <c r="C469" s="4">
        <v>42479</v>
      </c>
      <c r="D469" s="2" t="s">
        <v>301</v>
      </c>
      <c r="E469" s="2" t="s">
        <v>778</v>
      </c>
      <c r="F469" s="2" t="s">
        <v>778</v>
      </c>
      <c r="G469" s="2">
        <v>719.99</v>
      </c>
      <c r="H469" s="21">
        <v>57520</v>
      </c>
      <c r="I469" s="21" t="s">
        <v>13</v>
      </c>
      <c r="J469" s="2" t="s">
        <v>46</v>
      </c>
      <c r="K469" s="2" t="s">
        <v>34</v>
      </c>
      <c r="L469" s="2" t="s">
        <v>35</v>
      </c>
      <c r="M469" s="2"/>
      <c r="N469" s="2" t="s">
        <v>306</v>
      </c>
      <c r="O469" s="2"/>
      <c r="P469" s="2"/>
      <c r="Q469" s="2"/>
      <c r="R469" s="1"/>
      <c r="S469" s="2"/>
      <c r="T469" s="1"/>
      <c r="U469" s="1"/>
      <c r="V469" s="2"/>
      <c r="W469" s="2"/>
      <c r="X469" s="2"/>
      <c r="Y469" s="2"/>
      <c r="Z469" s="1">
        <f ca="1">IF(Table1[[#This Row],[Inactive_Date]]="",DATEDIF(Table1[[#This Row],[Date_Acq]],TODAY(),"m"),DATEDIF(Table1[[#This Row],[Date_Acq]],Table1[[#This Row],[Inactive_Date]],"m"))</f>
        <v>7</v>
      </c>
    </row>
    <row r="470" spans="1:26" s="17" customFormat="1" hidden="1" x14ac:dyDescent="0.4">
      <c r="A470" s="6"/>
      <c r="B470" s="7"/>
      <c r="C470" s="4">
        <v>42479</v>
      </c>
      <c r="D470" s="2" t="s">
        <v>753</v>
      </c>
      <c r="E470" s="2" t="s">
        <v>779</v>
      </c>
      <c r="F470" s="2" t="s">
        <v>779</v>
      </c>
      <c r="G470" s="2">
        <v>1384.62</v>
      </c>
      <c r="H470" s="21">
        <v>57520</v>
      </c>
      <c r="I470" s="21" t="s">
        <v>13</v>
      </c>
      <c r="J470" s="2" t="s">
        <v>46</v>
      </c>
      <c r="K470" s="2" t="s">
        <v>34</v>
      </c>
      <c r="L470" s="2" t="s">
        <v>35</v>
      </c>
      <c r="M470" s="2"/>
      <c r="N470" s="2" t="s">
        <v>780</v>
      </c>
      <c r="O470" s="2"/>
      <c r="P470" s="2"/>
      <c r="Q470" s="2"/>
      <c r="R470" s="1"/>
      <c r="S470" s="2"/>
      <c r="T470" s="1"/>
      <c r="U470" s="1"/>
      <c r="V470" s="2"/>
      <c r="W470" s="2"/>
      <c r="X470" s="2"/>
      <c r="Y470" s="2"/>
      <c r="Z470" s="1">
        <f ca="1">IF(Table1[[#This Row],[Inactive_Date]]="",DATEDIF(Table1[[#This Row],[Date_Acq]],TODAY(),"m"),DATEDIF(Table1[[#This Row],[Date_Acq]],Table1[[#This Row],[Inactive_Date]],"m"))</f>
        <v>7</v>
      </c>
    </row>
    <row r="471" spans="1:26" s="16" customFormat="1" hidden="1" x14ac:dyDescent="0.4">
      <c r="A471" s="6"/>
      <c r="B471" s="7"/>
      <c r="C471" s="4">
        <v>42480</v>
      </c>
      <c r="D471" s="1" t="s">
        <v>301</v>
      </c>
      <c r="E471" s="1" t="s">
        <v>781</v>
      </c>
      <c r="F471" s="1" t="s">
        <v>781</v>
      </c>
      <c r="G471" s="1">
        <v>249.99</v>
      </c>
      <c r="H471" s="21">
        <v>57590</v>
      </c>
      <c r="I471" s="21" t="s">
        <v>13</v>
      </c>
      <c r="J471" s="1" t="s">
        <v>509</v>
      </c>
      <c r="K471" s="1" t="s">
        <v>34</v>
      </c>
      <c r="L471" s="1" t="s">
        <v>35</v>
      </c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>
        <f ca="1">IF(Table1[[#This Row],[Inactive_Date]]="",DATEDIF(Table1[[#This Row],[Date_Acq]],TODAY(),"m"),DATEDIF(Table1[[#This Row],[Date_Acq]],Table1[[#This Row],[Inactive_Date]],"m"))</f>
        <v>7</v>
      </c>
    </row>
    <row r="472" spans="1:26" s="16" customFormat="1" hidden="1" x14ac:dyDescent="0.4">
      <c r="A472" s="6"/>
      <c r="B472" s="7"/>
      <c r="C472" s="4">
        <v>42480</v>
      </c>
      <c r="D472" s="1" t="s">
        <v>301</v>
      </c>
      <c r="E472" s="1" t="s">
        <v>782</v>
      </c>
      <c r="F472" s="1" t="s">
        <v>782</v>
      </c>
      <c r="G472" s="1">
        <v>759.94</v>
      </c>
      <c r="H472" s="21">
        <v>57520</v>
      </c>
      <c r="I472" s="21" t="s">
        <v>13</v>
      </c>
      <c r="J472" s="1" t="s">
        <v>38</v>
      </c>
      <c r="K472" s="1" t="s">
        <v>34</v>
      </c>
      <c r="L472" s="1" t="s">
        <v>35</v>
      </c>
      <c r="M472" s="1"/>
      <c r="N472" s="1" t="s">
        <v>780</v>
      </c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>
        <f ca="1">IF(Table1[[#This Row],[Inactive_Date]]="",DATEDIF(Table1[[#This Row],[Date_Acq]],TODAY(),"m"),DATEDIF(Table1[[#This Row],[Date_Acq]],Table1[[#This Row],[Inactive_Date]],"m"))</f>
        <v>7</v>
      </c>
    </row>
    <row r="473" spans="1:26" s="16" customFormat="1" hidden="1" x14ac:dyDescent="0.4">
      <c r="A473" s="6"/>
      <c r="B473" s="7"/>
      <c r="C473" s="4">
        <v>42481</v>
      </c>
      <c r="D473" s="1" t="s">
        <v>301</v>
      </c>
      <c r="E473" s="1" t="s">
        <v>783</v>
      </c>
      <c r="F473" s="1" t="s">
        <v>783</v>
      </c>
      <c r="G473" s="1">
        <v>310.22000000000003</v>
      </c>
      <c r="H473" s="21">
        <v>57740</v>
      </c>
      <c r="I473" s="21" t="s">
        <v>13</v>
      </c>
      <c r="J473" s="1" t="s">
        <v>55</v>
      </c>
      <c r="K473" s="1" t="s">
        <v>34</v>
      </c>
      <c r="L473" s="1" t="s">
        <v>35</v>
      </c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>
        <f ca="1">IF(Table1[[#This Row],[Inactive_Date]]="",DATEDIF(Table1[[#This Row],[Date_Acq]],TODAY(),"m"),DATEDIF(Table1[[#This Row],[Date_Acq]],Table1[[#This Row],[Inactive_Date]],"m"))</f>
        <v>7</v>
      </c>
    </row>
    <row r="474" spans="1:26" s="16" customFormat="1" hidden="1" x14ac:dyDescent="0.4">
      <c r="A474" s="6"/>
      <c r="B474" s="7"/>
      <c r="C474" s="4">
        <v>42485</v>
      </c>
      <c r="D474" s="1" t="s">
        <v>763</v>
      </c>
      <c r="E474" s="1" t="s">
        <v>784</v>
      </c>
      <c r="F474" s="1" t="s">
        <v>784</v>
      </c>
      <c r="G474" s="1">
        <v>1910.91</v>
      </c>
      <c r="H474" s="21">
        <v>56200</v>
      </c>
      <c r="I474" s="21" t="s">
        <v>13</v>
      </c>
      <c r="J474" s="1" t="s">
        <v>38</v>
      </c>
      <c r="K474" s="1" t="s">
        <v>34</v>
      </c>
      <c r="L474" s="1" t="s">
        <v>35</v>
      </c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>
        <f ca="1">IF(Table1[[#This Row],[Inactive_Date]]="",DATEDIF(Table1[[#This Row],[Date_Acq]],TODAY(),"m"),DATEDIF(Table1[[#This Row],[Date_Acq]],Table1[[#This Row],[Inactive_Date]],"m"))</f>
        <v>6</v>
      </c>
    </row>
    <row r="475" spans="1:26" s="16" customFormat="1" hidden="1" x14ac:dyDescent="0.4">
      <c r="A475" s="6"/>
      <c r="B475" s="7"/>
      <c r="C475" s="4">
        <v>42485</v>
      </c>
      <c r="D475" s="1" t="s">
        <v>763</v>
      </c>
      <c r="E475" s="1" t="s">
        <v>785</v>
      </c>
      <c r="F475" s="1" t="s">
        <v>785</v>
      </c>
      <c r="G475" s="1">
        <v>2352</v>
      </c>
      <c r="H475" s="21">
        <v>56200</v>
      </c>
      <c r="I475" s="21" t="s">
        <v>13</v>
      </c>
      <c r="J475" s="1" t="s">
        <v>38</v>
      </c>
      <c r="K475" s="1" t="s">
        <v>34</v>
      </c>
      <c r="L475" s="1" t="s">
        <v>35</v>
      </c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>
        <f ca="1">IF(Table1[[#This Row],[Inactive_Date]]="",DATEDIF(Table1[[#This Row],[Date_Acq]],TODAY(),"m"),DATEDIF(Table1[[#This Row],[Date_Acq]],Table1[[#This Row],[Inactive_Date]],"m"))</f>
        <v>6</v>
      </c>
    </row>
    <row r="476" spans="1:26" s="17" customFormat="1" hidden="1" x14ac:dyDescent="0.4">
      <c r="A476" s="6"/>
      <c r="B476" s="7"/>
      <c r="C476" s="4">
        <v>42487</v>
      </c>
      <c r="D476" s="2" t="s">
        <v>301</v>
      </c>
      <c r="E476" s="2" t="s">
        <v>786</v>
      </c>
      <c r="F476" s="2" t="s">
        <v>786</v>
      </c>
      <c r="G476" s="2">
        <v>211</v>
      </c>
      <c r="H476" s="21">
        <v>57520</v>
      </c>
      <c r="I476" s="21" t="s">
        <v>13</v>
      </c>
      <c r="J476" s="2" t="s">
        <v>46</v>
      </c>
      <c r="K476" s="2" t="s">
        <v>34</v>
      </c>
      <c r="L476" s="2" t="s">
        <v>35</v>
      </c>
      <c r="M476" s="2"/>
      <c r="N476" s="2"/>
      <c r="O476" s="2"/>
      <c r="P476" s="2"/>
      <c r="Q476" s="2"/>
      <c r="R476" s="1"/>
      <c r="S476" s="2"/>
      <c r="T476" s="1"/>
      <c r="U476" s="1"/>
      <c r="V476" s="2"/>
      <c r="W476" s="2"/>
      <c r="X476" s="2"/>
      <c r="Y476" s="2"/>
      <c r="Z476" s="1">
        <f ca="1">IF(Table1[[#This Row],[Inactive_Date]]="",DATEDIF(Table1[[#This Row],[Date_Acq]],TODAY(),"m"),DATEDIF(Table1[[#This Row],[Date_Acq]],Table1[[#This Row],[Inactive_Date]],"m"))</f>
        <v>6</v>
      </c>
    </row>
    <row r="477" spans="1:26" s="16" customFormat="1" hidden="1" x14ac:dyDescent="0.4">
      <c r="A477" s="6"/>
      <c r="B477" s="7"/>
      <c r="C477" s="4">
        <v>42494</v>
      </c>
      <c r="D477" s="1" t="s">
        <v>43</v>
      </c>
      <c r="E477" s="1" t="s">
        <v>787</v>
      </c>
      <c r="F477" s="1" t="s">
        <v>787</v>
      </c>
      <c r="G477" s="1">
        <v>0</v>
      </c>
      <c r="H477" s="21">
        <v>0</v>
      </c>
      <c r="I477" s="21" t="s">
        <v>13</v>
      </c>
      <c r="J477" s="1" t="s">
        <v>73</v>
      </c>
      <c r="K477" s="1" t="s">
        <v>34</v>
      </c>
      <c r="L477" s="1" t="s">
        <v>35</v>
      </c>
      <c r="M477" s="1"/>
      <c r="N477" s="1" t="s">
        <v>788</v>
      </c>
      <c r="O477" s="1" t="s">
        <v>789</v>
      </c>
      <c r="P477" s="1">
        <v>315017376</v>
      </c>
      <c r="Q477" s="1"/>
      <c r="R477" s="1"/>
      <c r="S477" s="1"/>
      <c r="T477" s="1"/>
      <c r="U477" s="1"/>
      <c r="V477" s="1"/>
      <c r="W477" s="1"/>
      <c r="X477" s="1"/>
      <c r="Y477" s="1"/>
      <c r="Z477" s="1">
        <f ca="1">IF(Table1[[#This Row],[Inactive_Date]]="",DATEDIF(Table1[[#This Row],[Date_Acq]],TODAY(),"m"),DATEDIF(Table1[[#This Row],[Date_Acq]],Table1[[#This Row],[Inactive_Date]],"m"))</f>
        <v>6</v>
      </c>
    </row>
    <row r="478" spans="1:26" s="17" customFormat="1" hidden="1" x14ac:dyDescent="0.4">
      <c r="A478" s="6"/>
      <c r="B478" s="7"/>
      <c r="C478" s="4">
        <v>42506</v>
      </c>
      <c r="D478" s="2" t="s">
        <v>360</v>
      </c>
      <c r="E478" s="2" t="s">
        <v>790</v>
      </c>
      <c r="F478" s="2" t="s">
        <v>790</v>
      </c>
      <c r="G478" s="2">
        <v>563</v>
      </c>
      <c r="H478" s="21">
        <v>57520</v>
      </c>
      <c r="I478" s="21" t="s">
        <v>13</v>
      </c>
      <c r="J478" s="2" t="s">
        <v>46</v>
      </c>
      <c r="K478" s="2" t="s">
        <v>34</v>
      </c>
      <c r="L478" s="2" t="s">
        <v>35</v>
      </c>
      <c r="M478" s="2"/>
      <c r="N478" s="2" t="s">
        <v>306</v>
      </c>
      <c r="O478" s="2"/>
      <c r="P478" s="2"/>
      <c r="Q478" s="2"/>
      <c r="R478" s="1"/>
      <c r="S478" s="2"/>
      <c r="T478" s="1"/>
      <c r="U478" s="1"/>
      <c r="V478" s="2"/>
      <c r="W478" s="2"/>
      <c r="X478" s="2"/>
      <c r="Y478" s="2"/>
      <c r="Z478" s="1">
        <f ca="1">IF(Table1[[#This Row],[Inactive_Date]]="",DATEDIF(Table1[[#This Row],[Date_Acq]],TODAY(),"m"),DATEDIF(Table1[[#This Row],[Date_Acq]],Table1[[#This Row],[Inactive_Date]],"m"))</f>
        <v>6</v>
      </c>
    </row>
    <row r="479" spans="1:26" s="16" customFormat="1" x14ac:dyDescent="0.4">
      <c r="A479" s="6"/>
      <c r="B479" s="7"/>
      <c r="C479" s="4">
        <v>42584</v>
      </c>
      <c r="D479" s="1" t="s">
        <v>791</v>
      </c>
      <c r="E479" s="1" t="s">
        <v>792</v>
      </c>
      <c r="F479" s="1" t="s">
        <v>792</v>
      </c>
      <c r="G479" s="1">
        <v>2140</v>
      </c>
      <c r="H479" s="21">
        <v>51150</v>
      </c>
      <c r="I479" s="21" t="s">
        <v>13</v>
      </c>
      <c r="J479" s="1" t="s">
        <v>303</v>
      </c>
      <c r="K479" s="1" t="s">
        <v>39</v>
      </c>
      <c r="L479" s="1" t="s">
        <v>35</v>
      </c>
      <c r="M479" s="1"/>
      <c r="N479" s="1"/>
      <c r="O479" s="1" t="s">
        <v>793</v>
      </c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>
        <f ca="1">IF(Table1[[#This Row],[Inactive_Date]]="",DATEDIF(Table1[[#This Row],[Date_Acq]],TODAY(),"m"),DATEDIF(Table1[[#This Row],[Date_Acq]],Table1[[#This Row],[Inactive_Date]],"m"))</f>
        <v>3</v>
      </c>
    </row>
    <row r="480" spans="1:26" s="16" customFormat="1" x14ac:dyDescent="0.4">
      <c r="A480" s="6"/>
      <c r="B480" s="7" t="s">
        <v>794</v>
      </c>
      <c r="C480" s="4">
        <v>42370</v>
      </c>
      <c r="D480" s="1"/>
      <c r="E480" s="1" t="s">
        <v>795</v>
      </c>
      <c r="F480" s="1"/>
      <c r="G480" s="1">
        <v>3600</v>
      </c>
      <c r="H480" s="21"/>
      <c r="I480" s="21" t="s">
        <v>796</v>
      </c>
      <c r="J480" s="1"/>
      <c r="K480" s="1"/>
      <c r="L480" s="1" t="s">
        <v>35</v>
      </c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>
        <f ca="1">IF(Table1[[#This Row],[Inactive_Date]]="",DATEDIF(Table1[[#This Row],[Date_Acq]],TODAY(),"m"),DATEDIF(Table1[[#This Row],[Date_Acq]],Table1[[#This Row],[Inactive_Date]],"m"))</f>
        <v>10</v>
      </c>
    </row>
    <row r="481" spans="1:26" s="17" customFormat="1" x14ac:dyDescent="0.4">
      <c r="A481" s="6"/>
      <c r="B481" s="7">
        <v>217277</v>
      </c>
      <c r="C481" s="2"/>
      <c r="D481" s="2"/>
      <c r="E481" s="2" t="s">
        <v>797</v>
      </c>
      <c r="F481" s="2"/>
      <c r="G481" s="2">
        <v>2000</v>
      </c>
      <c r="H481" s="21"/>
      <c r="I481" s="21" t="s">
        <v>798</v>
      </c>
      <c r="J481" s="2" t="s">
        <v>46</v>
      </c>
      <c r="K481" s="2" t="s">
        <v>39</v>
      </c>
      <c r="L481" s="2" t="s">
        <v>35</v>
      </c>
      <c r="M481" s="2"/>
      <c r="N481" s="2" t="s">
        <v>799</v>
      </c>
      <c r="O481" s="2" t="s">
        <v>800</v>
      </c>
      <c r="P481" s="2"/>
      <c r="Q481" s="2" t="s">
        <v>49</v>
      </c>
      <c r="R481" s="1">
        <v>5</v>
      </c>
      <c r="S481" s="2"/>
      <c r="T481" s="1"/>
      <c r="U481" s="1"/>
      <c r="V481" s="2"/>
      <c r="W481" s="2"/>
      <c r="X481" s="2"/>
      <c r="Y481" s="2"/>
      <c r="Z481" s="1">
        <f ca="1">IF(Table1[[#This Row],[Inactive_Date]]="",DATEDIF(Table1[[#This Row],[Date_Acq]],TODAY(),"m"),DATEDIF(Table1[[#This Row],[Date_Acq]],Table1[[#This Row],[Inactive_Date]],"m"))</f>
        <v>1402</v>
      </c>
    </row>
    <row r="482" spans="1:26" s="17" customFormat="1" hidden="1" x14ac:dyDescent="0.4">
      <c r="A482" s="6"/>
      <c r="B482" s="7" t="s">
        <v>801</v>
      </c>
      <c r="C482" s="4">
        <v>41980</v>
      </c>
      <c r="D482" s="2"/>
      <c r="E482" s="2" t="s">
        <v>802</v>
      </c>
      <c r="F482" s="2" t="s">
        <v>803</v>
      </c>
      <c r="G482" s="2">
        <v>530</v>
      </c>
      <c r="H482" s="21">
        <v>57520</v>
      </c>
      <c r="I482" s="21" t="s">
        <v>13</v>
      </c>
      <c r="J482" s="2" t="s">
        <v>46</v>
      </c>
      <c r="K482" s="2" t="s">
        <v>34</v>
      </c>
      <c r="L482" s="2" t="s">
        <v>51</v>
      </c>
      <c r="M482" s="2"/>
      <c r="N482" s="2" t="s">
        <v>709</v>
      </c>
      <c r="O482" s="2" t="s">
        <v>804</v>
      </c>
      <c r="P482" s="2"/>
      <c r="Q482" s="2" t="s">
        <v>474</v>
      </c>
      <c r="R482" s="1"/>
      <c r="S482" s="2"/>
      <c r="T482" s="1"/>
      <c r="U482" s="1"/>
      <c r="V482" s="2"/>
      <c r="W482" s="2"/>
      <c r="X482" s="2"/>
      <c r="Y482" s="2"/>
      <c r="Z482" s="1">
        <f ca="1">IF(Table1[[#This Row],[Inactive_Date]]="",DATEDIF(Table1[[#This Row],[Date_Acq]],TODAY(),"m"),DATEDIF(Table1[[#This Row],[Date_Acq]],Table1[[#This Row],[Inactive_Date]],"m"))</f>
        <v>23</v>
      </c>
    </row>
    <row r="483" spans="1:26" s="17" customFormat="1" x14ac:dyDescent="0.4">
      <c r="A483" s="6"/>
      <c r="B483" s="7" t="s">
        <v>805</v>
      </c>
      <c r="C483" s="4">
        <v>36892</v>
      </c>
      <c r="D483" s="2" t="s">
        <v>102</v>
      </c>
      <c r="E483" s="2" t="s">
        <v>806</v>
      </c>
      <c r="F483" s="2" t="s">
        <v>807</v>
      </c>
      <c r="G483" s="2">
        <v>700</v>
      </c>
      <c r="H483" s="21"/>
      <c r="I483" s="21" t="s">
        <v>796</v>
      </c>
      <c r="J483" s="2" t="s">
        <v>46</v>
      </c>
      <c r="K483" s="2" t="s">
        <v>39</v>
      </c>
      <c r="L483" s="2" t="s">
        <v>35</v>
      </c>
      <c r="M483" s="2"/>
      <c r="N483" s="2" t="s">
        <v>102</v>
      </c>
      <c r="O483" s="2" t="s">
        <v>808</v>
      </c>
      <c r="P483" s="2"/>
      <c r="Q483" s="2" t="s">
        <v>446</v>
      </c>
      <c r="R483" s="1">
        <v>3</v>
      </c>
      <c r="S483" s="2" t="s">
        <v>809</v>
      </c>
      <c r="T483" s="1"/>
      <c r="U483" s="1"/>
      <c r="V483" s="2"/>
      <c r="W483" s="2"/>
      <c r="X483" s="2"/>
      <c r="Y483" s="2"/>
      <c r="Z483" s="1">
        <f ca="1">IF(Table1[[#This Row],[Inactive_Date]]="",DATEDIF(Table1[[#This Row],[Date_Acq]],TODAY(),"m"),DATEDIF(Table1[[#This Row],[Date_Acq]],Table1[[#This Row],[Inactive_Date]],"m"))</f>
        <v>190</v>
      </c>
    </row>
    <row r="484" spans="1:26" s="17" customFormat="1" x14ac:dyDescent="0.4">
      <c r="A484" s="6"/>
      <c r="B484" s="7" t="s">
        <v>810</v>
      </c>
      <c r="C484" s="4">
        <v>40179</v>
      </c>
      <c r="D484" s="2"/>
      <c r="E484" s="2" t="s">
        <v>811</v>
      </c>
      <c r="F484" s="2"/>
      <c r="G484" s="2">
        <v>0</v>
      </c>
      <c r="H484" s="21"/>
      <c r="I484" s="21" t="s">
        <v>796</v>
      </c>
      <c r="J484" s="2" t="s">
        <v>46</v>
      </c>
      <c r="K484" s="2" t="s">
        <v>39</v>
      </c>
      <c r="L484" s="2" t="s">
        <v>35</v>
      </c>
      <c r="M484" s="2"/>
      <c r="N484" s="2" t="s">
        <v>102</v>
      </c>
      <c r="O484" s="2" t="s">
        <v>812</v>
      </c>
      <c r="P484" s="2" t="s">
        <v>810</v>
      </c>
      <c r="Q484" s="2"/>
      <c r="R484" s="1">
        <v>3</v>
      </c>
      <c r="S484" s="2"/>
      <c r="T484" s="1"/>
      <c r="U484" s="1"/>
      <c r="V484" s="2"/>
      <c r="W484" s="2"/>
      <c r="X484" s="2"/>
      <c r="Y484" s="2"/>
      <c r="Z484" s="1">
        <f ca="1">IF(Table1[[#This Row],[Inactive_Date]]="",DATEDIF(Table1[[#This Row],[Date_Acq]],TODAY(),"m"),DATEDIF(Table1[[#This Row],[Date_Acq]],Table1[[#This Row],[Inactive_Date]],"m"))</f>
        <v>82</v>
      </c>
    </row>
    <row r="485" spans="1:26" s="17" customFormat="1" hidden="1" x14ac:dyDescent="0.4">
      <c r="A485" s="6"/>
      <c r="B485" s="7" t="s">
        <v>813</v>
      </c>
      <c r="C485" s="2"/>
      <c r="D485" s="2"/>
      <c r="E485" s="2" t="s">
        <v>814</v>
      </c>
      <c r="F485" s="2"/>
      <c r="G485" s="2">
        <v>300</v>
      </c>
      <c r="H485" s="21"/>
      <c r="I485" s="21" t="s">
        <v>796</v>
      </c>
      <c r="J485" s="2" t="s">
        <v>46</v>
      </c>
      <c r="K485" s="2" t="s">
        <v>34</v>
      </c>
      <c r="L485" s="2" t="s">
        <v>35</v>
      </c>
      <c r="M485" s="2"/>
      <c r="N485" s="2" t="s">
        <v>815</v>
      </c>
      <c r="O485" s="2" t="s">
        <v>816</v>
      </c>
      <c r="P485" s="2" t="s">
        <v>813</v>
      </c>
      <c r="Q485" s="2" t="s">
        <v>49</v>
      </c>
      <c r="R485" s="1"/>
      <c r="S485" s="2" t="s">
        <v>817</v>
      </c>
      <c r="T485" s="1"/>
      <c r="U485" s="1"/>
      <c r="V485" s="2"/>
      <c r="W485" s="2"/>
      <c r="X485" s="2"/>
      <c r="Y485" s="2"/>
      <c r="Z485" s="1">
        <f ca="1">IF(Table1[[#This Row],[Inactive_Date]]="",DATEDIF(Table1[[#This Row],[Date_Acq]],TODAY(),"m"),DATEDIF(Table1[[#This Row],[Date_Acq]],Table1[[#This Row],[Inactive_Date]],"m"))</f>
        <v>1402</v>
      </c>
    </row>
    <row r="486" spans="1:26" s="17" customFormat="1" x14ac:dyDescent="0.4">
      <c r="A486" s="6"/>
      <c r="B486" s="7" t="s">
        <v>818</v>
      </c>
      <c r="C486" s="2"/>
      <c r="D486" s="2"/>
      <c r="E486" s="2" t="s">
        <v>819</v>
      </c>
      <c r="F486" s="2"/>
      <c r="G486" s="2"/>
      <c r="H486" s="21"/>
      <c r="I486" s="21" t="s">
        <v>820</v>
      </c>
      <c r="J486" s="2" t="s">
        <v>46</v>
      </c>
      <c r="K486" s="2" t="s">
        <v>39</v>
      </c>
      <c r="L486" s="2" t="s">
        <v>35</v>
      </c>
      <c r="M486" s="2"/>
      <c r="N486" s="2"/>
      <c r="O486" s="2"/>
      <c r="P486" s="2" t="s">
        <v>818</v>
      </c>
      <c r="Q486" s="2" t="s">
        <v>711</v>
      </c>
      <c r="R486" s="1"/>
      <c r="S486" s="2"/>
      <c r="T486" s="1"/>
      <c r="U486" s="1"/>
      <c r="V486" s="2"/>
      <c r="W486" s="2"/>
      <c r="X486" s="2"/>
      <c r="Y486" s="2"/>
      <c r="Z486" s="1">
        <f ca="1">IF(Table1[[#This Row],[Inactive_Date]]="",DATEDIF(Table1[[#This Row],[Date_Acq]],TODAY(),"m"),DATEDIF(Table1[[#This Row],[Date_Acq]],Table1[[#This Row],[Inactive_Date]],"m"))</f>
        <v>1402</v>
      </c>
    </row>
    <row r="487" spans="1:26" s="16" customFormat="1" hidden="1" x14ac:dyDescent="0.4">
      <c r="A487" s="6"/>
      <c r="B487" s="7">
        <v>4927381</v>
      </c>
      <c r="C487" s="4">
        <v>41609</v>
      </c>
      <c r="D487" s="1" t="s">
        <v>821</v>
      </c>
      <c r="E487" s="1" t="s">
        <v>822</v>
      </c>
      <c r="F487" s="1" t="s">
        <v>823</v>
      </c>
      <c r="G487" s="1">
        <v>430</v>
      </c>
      <c r="H487" s="21">
        <v>57520</v>
      </c>
      <c r="I487" s="21" t="s">
        <v>13</v>
      </c>
      <c r="J487" s="1"/>
      <c r="K487" s="1" t="s">
        <v>34</v>
      </c>
      <c r="L487" s="1" t="s">
        <v>51</v>
      </c>
      <c r="M487" s="1"/>
      <c r="N487" s="1" t="s">
        <v>709</v>
      </c>
      <c r="O487" s="1" t="s">
        <v>824</v>
      </c>
      <c r="P487" s="1">
        <v>4927381</v>
      </c>
      <c r="Q487" s="1" t="s">
        <v>474</v>
      </c>
      <c r="R487" s="1"/>
      <c r="S487" s="1"/>
      <c r="T487" s="1"/>
      <c r="U487" s="1"/>
      <c r="V487" s="1"/>
      <c r="W487" s="1"/>
      <c r="X487" s="1"/>
      <c r="Y487" s="1"/>
      <c r="Z487" s="1">
        <f ca="1">IF(Table1[[#This Row],[Inactive_Date]]="",DATEDIF(Table1[[#This Row],[Date_Acq]],TODAY(),"m"),DATEDIF(Table1[[#This Row],[Date_Acq]],Table1[[#This Row],[Inactive_Date]],"m"))</f>
        <v>35</v>
      </c>
    </row>
    <row r="488" spans="1:26" s="17" customFormat="1" x14ac:dyDescent="0.4">
      <c r="A488" s="6"/>
      <c r="B488" s="7" t="s">
        <v>825</v>
      </c>
      <c r="C488" s="4">
        <v>41275</v>
      </c>
      <c r="D488" s="2"/>
      <c r="E488" s="2" t="s">
        <v>826</v>
      </c>
      <c r="F488" s="2"/>
      <c r="G488" s="2">
        <v>700</v>
      </c>
      <c r="H488" s="21"/>
      <c r="I488" s="21" t="s">
        <v>796</v>
      </c>
      <c r="J488" s="2" t="s">
        <v>46</v>
      </c>
      <c r="K488" s="2" t="s">
        <v>39</v>
      </c>
      <c r="L488" s="2" t="s">
        <v>35</v>
      </c>
      <c r="M488" s="2"/>
      <c r="N488" s="2" t="s">
        <v>102</v>
      </c>
      <c r="O488" s="2" t="s">
        <v>827</v>
      </c>
      <c r="P488" s="2" t="s">
        <v>825</v>
      </c>
      <c r="Q488" s="2" t="s">
        <v>110</v>
      </c>
      <c r="R488" s="1">
        <v>3</v>
      </c>
      <c r="S488" s="2"/>
      <c r="T488" s="1"/>
      <c r="U488" s="1"/>
      <c r="V488" s="2"/>
      <c r="W488" s="2"/>
      <c r="X488" s="2"/>
      <c r="Y488" s="2"/>
      <c r="Z488" s="1">
        <f ca="1">IF(Table1[[#This Row],[Inactive_Date]]="",DATEDIF(Table1[[#This Row],[Date_Acq]],TODAY(),"m"),DATEDIF(Table1[[#This Row],[Date_Acq]],Table1[[#This Row],[Inactive_Date]],"m"))</f>
        <v>46</v>
      </c>
    </row>
    <row r="489" spans="1:26" s="17" customFormat="1" hidden="1" x14ac:dyDescent="0.4">
      <c r="A489" s="6"/>
      <c r="B489" s="7" t="s">
        <v>828</v>
      </c>
      <c r="C489" s="4">
        <v>40179</v>
      </c>
      <c r="D489" s="2"/>
      <c r="E489" s="2" t="s">
        <v>519</v>
      </c>
      <c r="F489" s="2"/>
      <c r="G489" s="2">
        <v>500</v>
      </c>
      <c r="H489" s="21"/>
      <c r="I489" s="21" t="s">
        <v>796</v>
      </c>
      <c r="J489" s="2" t="s">
        <v>46</v>
      </c>
      <c r="K489" s="2" t="s">
        <v>34</v>
      </c>
      <c r="L489" s="2" t="s">
        <v>35</v>
      </c>
      <c r="M489" s="2"/>
      <c r="N489" s="2" t="s">
        <v>102</v>
      </c>
      <c r="O489" s="2" t="s">
        <v>829</v>
      </c>
      <c r="P489" s="2" t="s">
        <v>828</v>
      </c>
      <c r="Q489" s="2" t="s">
        <v>446</v>
      </c>
      <c r="R489" s="1">
        <v>3</v>
      </c>
      <c r="S489" s="2" t="s">
        <v>830</v>
      </c>
      <c r="T489" s="1" t="s">
        <v>706</v>
      </c>
      <c r="U489" s="3">
        <v>41619</v>
      </c>
      <c r="V489" s="2"/>
      <c r="W489" s="2"/>
      <c r="X489" s="2"/>
      <c r="Y489" s="2"/>
      <c r="Z489" s="1">
        <f ca="1">IF(Table1[[#This Row],[Inactive_Date]]="",DATEDIF(Table1[[#This Row],[Date_Acq]],TODAY(),"m"),DATEDIF(Table1[[#This Row],[Date_Acq]],Table1[[#This Row],[Inactive_Date]],"m"))</f>
        <v>82</v>
      </c>
    </row>
    <row r="490" spans="1:26" s="17" customFormat="1" x14ac:dyDescent="0.4">
      <c r="A490" s="6"/>
      <c r="B490" s="7" t="s">
        <v>831</v>
      </c>
      <c r="C490" s="2"/>
      <c r="D490" s="2"/>
      <c r="E490" s="2" t="s">
        <v>832</v>
      </c>
      <c r="F490" s="2"/>
      <c r="G490" s="2"/>
      <c r="H490" s="21"/>
      <c r="I490" s="21" t="s">
        <v>108</v>
      </c>
      <c r="J490" s="2" t="s">
        <v>46</v>
      </c>
      <c r="K490" s="2" t="s">
        <v>39</v>
      </c>
      <c r="L490" s="2" t="s">
        <v>51</v>
      </c>
      <c r="M490" s="2"/>
      <c r="N490" s="2"/>
      <c r="O490" s="2"/>
      <c r="P490" s="2"/>
      <c r="Q490" s="2" t="s">
        <v>474</v>
      </c>
      <c r="R490" s="1">
        <v>1</v>
      </c>
      <c r="S490" s="2"/>
      <c r="T490" s="1" t="s">
        <v>410</v>
      </c>
      <c r="U490" s="1"/>
      <c r="V490" s="2"/>
      <c r="W490" s="2"/>
      <c r="X490" s="2"/>
      <c r="Y490" s="2"/>
      <c r="Z490" s="1">
        <f ca="1">IF(Table1[[#This Row],[Inactive_Date]]="",DATEDIF(Table1[[#This Row],[Date_Acq]],TODAY(),"m"),DATEDIF(Table1[[#This Row],[Date_Acq]],Table1[[#This Row],[Inactive_Date]],"m"))</f>
        <v>1402</v>
      </c>
    </row>
    <row r="491" spans="1:26" s="17" customFormat="1" x14ac:dyDescent="0.4">
      <c r="A491" s="6"/>
      <c r="B491" s="7" t="s">
        <v>833</v>
      </c>
      <c r="C491" s="4">
        <v>38565</v>
      </c>
      <c r="D491" s="2"/>
      <c r="E491" s="2" t="s">
        <v>834</v>
      </c>
      <c r="F491" s="2"/>
      <c r="G491" s="2"/>
      <c r="H491" s="21"/>
      <c r="I491" s="21" t="s">
        <v>13</v>
      </c>
      <c r="J491" s="2" t="s">
        <v>46</v>
      </c>
      <c r="K491" s="2" t="s">
        <v>39</v>
      </c>
      <c r="L491" s="2" t="s">
        <v>35</v>
      </c>
      <c r="M491" s="2"/>
      <c r="N491" s="2" t="s">
        <v>835</v>
      </c>
      <c r="O491" s="2" t="s">
        <v>836</v>
      </c>
      <c r="P491" s="2">
        <v>940600057100243</v>
      </c>
      <c r="Q491" s="2" t="s">
        <v>711</v>
      </c>
      <c r="R491" s="1">
        <v>1</v>
      </c>
      <c r="S491" s="2"/>
      <c r="T491" s="1" t="s">
        <v>410</v>
      </c>
      <c r="U491" s="1"/>
      <c r="V491" s="2"/>
      <c r="W491" s="2"/>
      <c r="X491" s="2"/>
      <c r="Y491" s="2"/>
      <c r="Z491" s="1">
        <f ca="1">IF(Table1[[#This Row],[Inactive_Date]]="",DATEDIF(Table1[[#This Row],[Date_Acq]],TODAY(),"m"),DATEDIF(Table1[[#This Row],[Date_Acq]],Table1[[#This Row],[Inactive_Date]],"m"))</f>
        <v>135</v>
      </c>
    </row>
    <row r="492" spans="1:26" s="17" customFormat="1" hidden="1" x14ac:dyDescent="0.4">
      <c r="A492" s="6"/>
      <c r="B492" s="7" t="s">
        <v>837</v>
      </c>
      <c r="C492" s="4">
        <v>38353</v>
      </c>
      <c r="D492" s="2" t="s">
        <v>102</v>
      </c>
      <c r="E492" s="2" t="s">
        <v>519</v>
      </c>
      <c r="F492" s="2"/>
      <c r="G492" s="2">
        <v>500</v>
      </c>
      <c r="H492" s="21">
        <v>57520</v>
      </c>
      <c r="I492" s="21" t="s">
        <v>108</v>
      </c>
      <c r="J492" s="2" t="s">
        <v>46</v>
      </c>
      <c r="K492" s="2" t="s">
        <v>34</v>
      </c>
      <c r="L492" s="2" t="s">
        <v>35</v>
      </c>
      <c r="M492" s="2"/>
      <c r="N492" s="2" t="s">
        <v>102</v>
      </c>
      <c r="O492" s="2" t="s">
        <v>838</v>
      </c>
      <c r="P492" s="2" t="s">
        <v>837</v>
      </c>
      <c r="Q492" s="2" t="s">
        <v>446</v>
      </c>
      <c r="R492" s="1">
        <v>1</v>
      </c>
      <c r="S492" s="2" t="s">
        <v>839</v>
      </c>
      <c r="T492" s="1" t="s">
        <v>410</v>
      </c>
      <c r="U492" s="3">
        <v>38717</v>
      </c>
      <c r="V492" s="2"/>
      <c r="W492" s="2"/>
      <c r="X492" s="2"/>
      <c r="Y492" s="2"/>
      <c r="Z492" s="1">
        <f ca="1">IF(Table1[[#This Row],[Inactive_Date]]="",DATEDIF(Table1[[#This Row],[Date_Acq]],TODAY(),"m"),DATEDIF(Table1[[#This Row],[Date_Acq]],Table1[[#This Row],[Inactive_Date]],"m"))</f>
        <v>142</v>
      </c>
    </row>
    <row r="493" spans="1:26" s="17" customFormat="1" x14ac:dyDescent="0.4">
      <c r="A493" s="6"/>
      <c r="B493" s="7" t="s">
        <v>840</v>
      </c>
      <c r="C493" s="4">
        <v>41275</v>
      </c>
      <c r="D493" s="2"/>
      <c r="E493" s="2" t="s">
        <v>107</v>
      </c>
      <c r="F493" s="2"/>
      <c r="G493" s="2">
        <v>1000</v>
      </c>
      <c r="H493" s="21"/>
      <c r="I493" s="21" t="s">
        <v>108</v>
      </c>
      <c r="J493" s="2" t="s">
        <v>46</v>
      </c>
      <c r="K493" s="2" t="s">
        <v>39</v>
      </c>
      <c r="L493" s="2" t="s">
        <v>35</v>
      </c>
      <c r="M493" s="2"/>
      <c r="N493" s="2" t="s">
        <v>102</v>
      </c>
      <c r="O493" s="2" t="s">
        <v>841</v>
      </c>
      <c r="P493" s="2" t="s">
        <v>840</v>
      </c>
      <c r="Q493" s="2" t="s">
        <v>446</v>
      </c>
      <c r="R493" s="1">
        <v>3</v>
      </c>
      <c r="S493" s="2"/>
      <c r="T493" s="1"/>
      <c r="U493" s="1"/>
      <c r="V493" s="2"/>
      <c r="W493" s="2"/>
      <c r="X493" s="2"/>
      <c r="Y493" s="2"/>
      <c r="Z493" s="1">
        <f ca="1">IF(Table1[[#This Row],[Inactive_Date]]="",DATEDIF(Table1[[#This Row],[Date_Acq]],TODAY(),"m"),DATEDIF(Table1[[#This Row],[Date_Acq]],Table1[[#This Row],[Inactive_Date]],"m"))</f>
        <v>46</v>
      </c>
    </row>
    <row r="494" spans="1:26" s="17" customFormat="1" x14ac:dyDescent="0.4">
      <c r="A494" s="6"/>
      <c r="B494" s="7" t="s">
        <v>842</v>
      </c>
      <c r="C494" s="4">
        <v>36892</v>
      </c>
      <c r="D494" s="2"/>
      <c r="E494" s="2" t="s">
        <v>843</v>
      </c>
      <c r="F494" s="2" t="s">
        <v>807</v>
      </c>
      <c r="G494" s="2">
        <v>700</v>
      </c>
      <c r="H494" s="21"/>
      <c r="I494" s="21" t="s">
        <v>796</v>
      </c>
      <c r="J494" s="2" t="s">
        <v>46</v>
      </c>
      <c r="K494" s="2" t="s">
        <v>39</v>
      </c>
      <c r="L494" s="2" t="s">
        <v>35</v>
      </c>
      <c r="M494" s="2"/>
      <c r="N494" s="2" t="s">
        <v>102</v>
      </c>
      <c r="O494" s="2" t="s">
        <v>844</v>
      </c>
      <c r="P494" s="2"/>
      <c r="Q494" s="2" t="s">
        <v>446</v>
      </c>
      <c r="R494" s="1">
        <v>3</v>
      </c>
      <c r="S494" s="2" t="s">
        <v>845</v>
      </c>
      <c r="T494" s="1"/>
      <c r="U494" s="1"/>
      <c r="V494" s="2"/>
      <c r="W494" s="2"/>
      <c r="X494" s="2"/>
      <c r="Y494" s="2"/>
      <c r="Z494" s="1">
        <f ca="1">IF(Table1[[#This Row],[Inactive_Date]]="",DATEDIF(Table1[[#This Row],[Date_Acq]],TODAY(),"m"),DATEDIF(Table1[[#This Row],[Date_Acq]],Table1[[#This Row],[Inactive_Date]],"m"))</f>
        <v>190</v>
      </c>
    </row>
    <row r="495" spans="1:26" s="17" customFormat="1" x14ac:dyDescent="0.4">
      <c r="A495" s="6"/>
      <c r="B495" s="7" t="s">
        <v>846</v>
      </c>
      <c r="C495" s="4">
        <v>40210</v>
      </c>
      <c r="D495" s="2" t="s">
        <v>847</v>
      </c>
      <c r="E495" s="2" t="s">
        <v>848</v>
      </c>
      <c r="F495" s="2"/>
      <c r="G495" s="2">
        <v>0</v>
      </c>
      <c r="H495" s="21">
        <v>0</v>
      </c>
      <c r="I495" s="21" t="s">
        <v>798</v>
      </c>
      <c r="J495" s="2" t="s">
        <v>46</v>
      </c>
      <c r="K495" s="2"/>
      <c r="L495" s="2" t="s">
        <v>35</v>
      </c>
      <c r="M495" s="2"/>
      <c r="N495" s="2" t="s">
        <v>849</v>
      </c>
      <c r="O495" s="2" t="s">
        <v>850</v>
      </c>
      <c r="P495" s="2" t="s">
        <v>851</v>
      </c>
      <c r="Q495" s="2"/>
      <c r="R495" s="1">
        <v>5</v>
      </c>
      <c r="S495" s="2" t="s">
        <v>852</v>
      </c>
      <c r="T495" s="1" t="s">
        <v>410</v>
      </c>
      <c r="U495" s="1"/>
      <c r="V495" s="2"/>
      <c r="W495" s="2"/>
      <c r="X495" s="2"/>
      <c r="Y495" s="2"/>
      <c r="Z495" s="1">
        <f ca="1">IF(Table1[[#This Row],[Inactive_Date]]="",DATEDIF(Table1[[#This Row],[Date_Acq]],TODAY(),"m"),DATEDIF(Table1[[#This Row],[Date_Acq]],Table1[[#This Row],[Inactive_Date]],"m"))</f>
        <v>81</v>
      </c>
    </row>
    <row r="496" spans="1:26" s="16" customFormat="1" x14ac:dyDescent="0.4">
      <c r="A496" s="6"/>
      <c r="B496" s="7" t="s">
        <v>853</v>
      </c>
      <c r="C496" s="2"/>
      <c r="D496" s="1"/>
      <c r="E496" s="1" t="s">
        <v>854</v>
      </c>
      <c r="F496" s="1" t="s">
        <v>855</v>
      </c>
      <c r="G496" s="1">
        <v>1500</v>
      </c>
      <c r="H496" s="21"/>
      <c r="I496" s="21" t="s">
        <v>13</v>
      </c>
      <c r="J496" s="1"/>
      <c r="K496" s="1"/>
      <c r="L496" s="1"/>
      <c r="M496" s="1"/>
      <c r="N496" s="1" t="s">
        <v>856</v>
      </c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>
        <f ca="1">IF(Table1[[#This Row],[Inactive_Date]]="",DATEDIF(Table1[[#This Row],[Date_Acq]],TODAY(),"m"),DATEDIF(Table1[[#This Row],[Date_Acq]],Table1[[#This Row],[Inactive_Date]],"m"))</f>
        <v>1402</v>
      </c>
    </row>
    <row r="497" spans="1:26" s="16" customFormat="1" x14ac:dyDescent="0.4">
      <c r="A497" s="6"/>
      <c r="B497" s="7" t="s">
        <v>857</v>
      </c>
      <c r="C497" s="2"/>
      <c r="D497" s="1"/>
      <c r="E497" s="1" t="s">
        <v>858</v>
      </c>
      <c r="F497" s="1"/>
      <c r="G497" s="1">
        <v>399</v>
      </c>
      <c r="H497" s="21"/>
      <c r="I497" s="21" t="s">
        <v>13</v>
      </c>
      <c r="J497" s="1" t="s">
        <v>38</v>
      </c>
      <c r="K497" s="1"/>
      <c r="L497" s="1" t="s">
        <v>51</v>
      </c>
      <c r="M497" s="1"/>
      <c r="N497" s="1" t="s">
        <v>859</v>
      </c>
      <c r="O497" s="1" t="s">
        <v>860</v>
      </c>
      <c r="P497" s="1" t="s">
        <v>861</v>
      </c>
      <c r="Q497" s="1"/>
      <c r="R497" s="1"/>
      <c r="S497" s="1"/>
      <c r="T497" s="1"/>
      <c r="U497" s="1"/>
      <c r="V497" s="1"/>
      <c r="W497" s="1"/>
      <c r="X497" s="1"/>
      <c r="Y497" s="1"/>
      <c r="Z497" s="1">
        <f ca="1">IF(Table1[[#This Row],[Inactive_Date]]="",DATEDIF(Table1[[#This Row],[Date_Acq]],TODAY(),"m"),DATEDIF(Table1[[#This Row],[Date_Acq]],Table1[[#This Row],[Inactive_Date]],"m"))</f>
        <v>1402</v>
      </c>
    </row>
    <row r="498" spans="1:26" s="16" customFormat="1" x14ac:dyDescent="0.4">
      <c r="A498" s="6"/>
      <c r="B498" s="7" t="s">
        <v>862</v>
      </c>
      <c r="C498" s="2"/>
      <c r="D498" s="1"/>
      <c r="E498" s="1" t="s">
        <v>858</v>
      </c>
      <c r="F498" s="1"/>
      <c r="G498" s="1">
        <v>399</v>
      </c>
      <c r="H498" s="21"/>
      <c r="I498" s="21" t="s">
        <v>13</v>
      </c>
      <c r="J498" s="1" t="s">
        <v>38</v>
      </c>
      <c r="K498" s="1"/>
      <c r="L498" s="1" t="s">
        <v>51</v>
      </c>
      <c r="M498" s="1"/>
      <c r="N498" s="1" t="s">
        <v>859</v>
      </c>
      <c r="O498" s="1" t="s">
        <v>860</v>
      </c>
      <c r="P498" s="1" t="s">
        <v>861</v>
      </c>
      <c r="Q498" s="1"/>
      <c r="R498" s="1"/>
      <c r="S498" s="1"/>
      <c r="T498" s="1"/>
      <c r="U498" s="1"/>
      <c r="V498" s="1"/>
      <c r="W498" s="1"/>
      <c r="X498" s="1"/>
      <c r="Y498" s="1"/>
      <c r="Z498" s="1">
        <f ca="1">IF(Table1[[#This Row],[Inactive_Date]]="",DATEDIF(Table1[[#This Row],[Date_Acq]],TODAY(),"m"),DATEDIF(Table1[[#This Row],[Date_Acq]],Table1[[#This Row],[Inactive_Date]],"m"))</f>
        <v>1402</v>
      </c>
    </row>
    <row r="499" spans="1:26" s="16" customFormat="1" x14ac:dyDescent="0.4">
      <c r="A499" s="6"/>
      <c r="B499" s="7" t="s">
        <v>863</v>
      </c>
      <c r="C499" s="2"/>
      <c r="D499" s="1"/>
      <c r="E499" s="1" t="s">
        <v>858</v>
      </c>
      <c r="F499" s="1"/>
      <c r="G499" s="1">
        <v>450</v>
      </c>
      <c r="H499" s="21"/>
      <c r="I499" s="21" t="s">
        <v>13</v>
      </c>
      <c r="J499" s="1" t="s">
        <v>38</v>
      </c>
      <c r="K499" s="1"/>
      <c r="L499" s="1" t="s">
        <v>51</v>
      </c>
      <c r="M499" s="1"/>
      <c r="N499" s="1" t="s">
        <v>859</v>
      </c>
      <c r="O499" s="1" t="s">
        <v>864</v>
      </c>
      <c r="P499" s="1" t="s">
        <v>865</v>
      </c>
      <c r="Q499" s="1"/>
      <c r="R499" s="1"/>
      <c r="S499" s="1"/>
      <c r="T499" s="1"/>
      <c r="U499" s="1"/>
      <c r="V499" s="1"/>
      <c r="W499" s="1"/>
      <c r="X499" s="1"/>
      <c r="Y499" s="1"/>
      <c r="Z499" s="1">
        <f ca="1">IF(Table1[[#This Row],[Inactive_Date]]="",DATEDIF(Table1[[#This Row],[Date_Acq]],TODAY(),"m"),DATEDIF(Table1[[#This Row],[Date_Acq]],Table1[[#This Row],[Inactive_Date]],"m"))</f>
        <v>1402</v>
      </c>
    </row>
    <row r="500" spans="1:26" s="16" customFormat="1" x14ac:dyDescent="0.4">
      <c r="A500" s="6"/>
      <c r="B500" s="7" t="s">
        <v>866</v>
      </c>
      <c r="C500" s="2"/>
      <c r="D500" s="1"/>
      <c r="E500" s="1" t="s">
        <v>867</v>
      </c>
      <c r="F500" s="1" t="s">
        <v>868</v>
      </c>
      <c r="G500" s="1"/>
      <c r="H500" s="21"/>
      <c r="I500" s="21" t="s">
        <v>13</v>
      </c>
      <c r="J500" s="1"/>
      <c r="K500" s="1"/>
      <c r="L500" s="1"/>
      <c r="M500" s="1"/>
      <c r="N500" s="1" t="s">
        <v>869</v>
      </c>
      <c r="O500" s="1" t="s">
        <v>870</v>
      </c>
      <c r="P500" s="1">
        <v>997225</v>
      </c>
      <c r="Q500" s="1"/>
      <c r="R500" s="1"/>
      <c r="S500" s="1"/>
      <c r="T500" s="1"/>
      <c r="U500" s="1"/>
      <c r="V500" s="1"/>
      <c r="W500" s="1"/>
      <c r="X500" s="1"/>
      <c r="Y500" s="1"/>
      <c r="Z500" s="1">
        <f ca="1">IF(Table1[[#This Row],[Inactive_Date]]="",DATEDIF(Table1[[#This Row],[Date_Acq]],TODAY(),"m"),DATEDIF(Table1[[#This Row],[Date_Acq]],Table1[[#This Row],[Inactive_Date]],"m"))</f>
        <v>1402</v>
      </c>
    </row>
    <row r="501" spans="1:26" s="16" customFormat="1" x14ac:dyDescent="0.4">
      <c r="A501" s="6"/>
      <c r="B501" s="7" t="s">
        <v>871</v>
      </c>
      <c r="C501" s="2"/>
      <c r="D501" s="1"/>
      <c r="E501" s="1" t="s">
        <v>858</v>
      </c>
      <c r="F501" s="1"/>
      <c r="G501" s="1">
        <v>399</v>
      </c>
      <c r="H501" s="21"/>
      <c r="I501" s="21" t="s">
        <v>13</v>
      </c>
      <c r="J501" s="1" t="s">
        <v>38</v>
      </c>
      <c r="K501" s="1"/>
      <c r="L501" s="1" t="s">
        <v>51</v>
      </c>
      <c r="M501" s="1"/>
      <c r="N501" s="1" t="s">
        <v>859</v>
      </c>
      <c r="O501" s="1" t="s">
        <v>860</v>
      </c>
      <c r="P501" s="1" t="s">
        <v>861</v>
      </c>
      <c r="Q501" s="1"/>
      <c r="R501" s="1"/>
      <c r="S501" s="1"/>
      <c r="T501" s="1"/>
      <c r="U501" s="1"/>
      <c r="V501" s="1"/>
      <c r="W501" s="1"/>
      <c r="X501" s="1"/>
      <c r="Y501" s="1"/>
      <c r="Z501" s="1">
        <f ca="1">IF(Table1[[#This Row],[Inactive_Date]]="",DATEDIF(Table1[[#This Row],[Date_Acq]],TODAY(),"m"),DATEDIF(Table1[[#This Row],[Date_Acq]],Table1[[#This Row],[Inactive_Date]],"m"))</f>
        <v>1402</v>
      </c>
    </row>
    <row r="502" spans="1:26" s="16" customFormat="1" hidden="1" x14ac:dyDescent="0.4">
      <c r="A502" s="6"/>
      <c r="B502" s="7" t="s">
        <v>872</v>
      </c>
      <c r="C502" s="2"/>
      <c r="D502" s="1"/>
      <c r="E502" s="1" t="s">
        <v>873</v>
      </c>
      <c r="F502" s="1"/>
      <c r="G502" s="1">
        <v>300</v>
      </c>
      <c r="H502" s="21"/>
      <c r="I502" s="21" t="s">
        <v>13</v>
      </c>
      <c r="J502" s="1" t="s">
        <v>38</v>
      </c>
      <c r="K502" s="1" t="s">
        <v>34</v>
      </c>
      <c r="L502" s="1" t="s">
        <v>51</v>
      </c>
      <c r="M502" s="1"/>
      <c r="N502" s="1" t="s">
        <v>874</v>
      </c>
      <c r="O502" s="1" t="s">
        <v>875</v>
      </c>
      <c r="P502" s="1"/>
      <c r="Q502" s="1"/>
      <c r="R502" s="1"/>
      <c r="S502" s="1"/>
      <c r="T502" s="1"/>
      <c r="U502" s="3">
        <v>42494</v>
      </c>
      <c r="V502" s="1"/>
      <c r="W502" s="1"/>
      <c r="X502" s="1"/>
      <c r="Y502" s="1"/>
      <c r="Z502" s="1">
        <f ca="1">IF(Table1[[#This Row],[Inactive_Date]]="",DATEDIF(Table1[[#This Row],[Date_Acq]],TODAY(),"m"),DATEDIF(Table1[[#This Row],[Date_Acq]],Table1[[#This Row],[Inactive_Date]],"m"))</f>
        <v>1402</v>
      </c>
    </row>
    <row r="503" spans="1:26" s="16" customFormat="1" hidden="1" x14ac:dyDescent="0.4">
      <c r="A503" s="6"/>
      <c r="B503" s="7" t="s">
        <v>876</v>
      </c>
      <c r="C503" s="2"/>
      <c r="D503" s="1"/>
      <c r="E503" s="1" t="s">
        <v>873</v>
      </c>
      <c r="F503" s="1"/>
      <c r="G503" s="1">
        <v>300</v>
      </c>
      <c r="H503" s="21"/>
      <c r="I503" s="21" t="s">
        <v>13</v>
      </c>
      <c r="J503" s="1" t="s">
        <v>38</v>
      </c>
      <c r="K503" s="1" t="s">
        <v>34</v>
      </c>
      <c r="L503" s="1" t="s">
        <v>51</v>
      </c>
      <c r="M503" s="1"/>
      <c r="N503" s="1" t="s">
        <v>874</v>
      </c>
      <c r="O503" s="1" t="s">
        <v>875</v>
      </c>
      <c r="P503" s="1"/>
      <c r="Q503" s="1"/>
      <c r="R503" s="1"/>
      <c r="S503" s="1"/>
      <c r="T503" s="1"/>
      <c r="U503" s="3">
        <v>42494</v>
      </c>
      <c r="V503" s="1"/>
      <c r="W503" s="1"/>
      <c r="X503" s="1"/>
      <c r="Y503" s="1"/>
      <c r="Z503" s="1">
        <f ca="1">IF(Table1[[#This Row],[Inactive_Date]]="",DATEDIF(Table1[[#This Row],[Date_Acq]],TODAY(),"m"),DATEDIF(Table1[[#This Row],[Date_Acq]],Table1[[#This Row],[Inactive_Date]],"m"))</f>
        <v>1402</v>
      </c>
    </row>
    <row r="504" spans="1:26" s="16" customFormat="1" hidden="1" x14ac:dyDescent="0.4">
      <c r="A504" s="6"/>
      <c r="B504" s="7" t="s">
        <v>877</v>
      </c>
      <c r="C504" s="2"/>
      <c r="D504" s="1"/>
      <c r="E504" s="1" t="s">
        <v>873</v>
      </c>
      <c r="F504" s="1"/>
      <c r="G504" s="1">
        <v>300</v>
      </c>
      <c r="H504" s="21"/>
      <c r="I504" s="21" t="s">
        <v>13</v>
      </c>
      <c r="J504" s="1" t="s">
        <v>38</v>
      </c>
      <c r="K504" s="1" t="s">
        <v>34</v>
      </c>
      <c r="L504" s="1" t="s">
        <v>51</v>
      </c>
      <c r="M504" s="1"/>
      <c r="N504" s="1" t="s">
        <v>874</v>
      </c>
      <c r="O504" s="1" t="s">
        <v>875</v>
      </c>
      <c r="P504" s="1"/>
      <c r="Q504" s="1"/>
      <c r="R504" s="1"/>
      <c r="S504" s="1"/>
      <c r="T504" s="1"/>
      <c r="U504" s="3">
        <v>42494</v>
      </c>
      <c r="V504" s="1"/>
      <c r="W504" s="1"/>
      <c r="X504" s="1"/>
      <c r="Y504" s="1"/>
      <c r="Z504" s="1">
        <f ca="1">IF(Table1[[#This Row],[Inactive_Date]]="",DATEDIF(Table1[[#This Row],[Date_Acq]],TODAY(),"m"),DATEDIF(Table1[[#This Row],[Date_Acq]],Table1[[#This Row],[Inactive_Date]],"m"))</f>
        <v>1402</v>
      </c>
    </row>
    <row r="505" spans="1:26" s="16" customFormat="1" hidden="1" x14ac:dyDescent="0.4">
      <c r="A505" s="6"/>
      <c r="B505" s="7" t="s">
        <v>878</v>
      </c>
      <c r="C505" s="2"/>
      <c r="D505" s="1"/>
      <c r="E505" s="1" t="s">
        <v>873</v>
      </c>
      <c r="F505" s="1"/>
      <c r="G505" s="1">
        <v>300</v>
      </c>
      <c r="H505" s="21"/>
      <c r="I505" s="21" t="s">
        <v>13</v>
      </c>
      <c r="J505" s="1" t="s">
        <v>38</v>
      </c>
      <c r="K505" s="1" t="s">
        <v>34</v>
      </c>
      <c r="L505" s="1" t="s">
        <v>51</v>
      </c>
      <c r="M505" s="1"/>
      <c r="N505" s="1" t="s">
        <v>874</v>
      </c>
      <c r="O505" s="1" t="s">
        <v>875</v>
      </c>
      <c r="P505" s="1"/>
      <c r="Q505" s="1"/>
      <c r="R505" s="1"/>
      <c r="S505" s="1"/>
      <c r="T505" s="1"/>
      <c r="U505" s="3">
        <v>42494</v>
      </c>
      <c r="V505" s="1"/>
      <c r="W505" s="1"/>
      <c r="X505" s="1"/>
      <c r="Y505" s="1"/>
      <c r="Z505" s="1">
        <f ca="1">IF(Table1[[#This Row],[Inactive_Date]]="",DATEDIF(Table1[[#This Row],[Date_Acq]],TODAY(),"m"),DATEDIF(Table1[[#This Row],[Date_Acq]],Table1[[#This Row],[Inactive_Date]],"m"))</f>
        <v>1402</v>
      </c>
    </row>
    <row r="506" spans="1:26" s="16" customFormat="1" hidden="1" x14ac:dyDescent="0.4">
      <c r="A506" s="6"/>
      <c r="B506" s="7" t="s">
        <v>879</v>
      </c>
      <c r="C506" s="2"/>
      <c r="D506" s="1"/>
      <c r="E506" s="1" t="s">
        <v>873</v>
      </c>
      <c r="F506" s="1"/>
      <c r="G506" s="1">
        <v>300</v>
      </c>
      <c r="H506" s="21"/>
      <c r="I506" s="21" t="s">
        <v>13</v>
      </c>
      <c r="J506" s="1" t="s">
        <v>38</v>
      </c>
      <c r="K506" s="1" t="s">
        <v>34</v>
      </c>
      <c r="L506" s="1" t="s">
        <v>51</v>
      </c>
      <c r="M506" s="1"/>
      <c r="N506" s="1" t="s">
        <v>874</v>
      </c>
      <c r="O506" s="1" t="s">
        <v>875</v>
      </c>
      <c r="P506" s="1"/>
      <c r="Q506" s="1"/>
      <c r="R506" s="1"/>
      <c r="S506" s="1"/>
      <c r="T506" s="1"/>
      <c r="U506" s="3">
        <v>42494</v>
      </c>
      <c r="V506" s="1"/>
      <c r="W506" s="1"/>
      <c r="X506" s="1"/>
      <c r="Y506" s="1"/>
      <c r="Z506" s="1">
        <f ca="1">IF(Table1[[#This Row],[Inactive_Date]]="",DATEDIF(Table1[[#This Row],[Date_Acq]],TODAY(),"m"),DATEDIF(Table1[[#This Row],[Date_Acq]],Table1[[#This Row],[Inactive_Date]],"m"))</f>
        <v>1402</v>
      </c>
    </row>
    <row r="507" spans="1:26" s="16" customFormat="1" hidden="1" x14ac:dyDescent="0.4">
      <c r="A507" s="6"/>
      <c r="B507" s="7" t="s">
        <v>880</v>
      </c>
      <c r="C507" s="2"/>
      <c r="D507" s="1"/>
      <c r="E507" s="1" t="s">
        <v>873</v>
      </c>
      <c r="F507" s="1"/>
      <c r="G507" s="1">
        <v>300</v>
      </c>
      <c r="H507" s="21"/>
      <c r="I507" s="21" t="s">
        <v>13</v>
      </c>
      <c r="J507" s="1" t="s">
        <v>38</v>
      </c>
      <c r="K507" s="1" t="s">
        <v>34</v>
      </c>
      <c r="L507" s="1" t="s">
        <v>51</v>
      </c>
      <c r="M507" s="1"/>
      <c r="N507" s="1" t="s">
        <v>874</v>
      </c>
      <c r="O507" s="1" t="s">
        <v>875</v>
      </c>
      <c r="P507" s="1"/>
      <c r="Q507" s="1"/>
      <c r="R507" s="1"/>
      <c r="S507" s="1"/>
      <c r="T507" s="1"/>
      <c r="U507" s="3">
        <v>42494</v>
      </c>
      <c r="V507" s="1"/>
      <c r="W507" s="1"/>
      <c r="X507" s="1"/>
      <c r="Y507" s="1"/>
      <c r="Z507" s="1">
        <f ca="1">IF(Table1[[#This Row],[Inactive_Date]]="",DATEDIF(Table1[[#This Row],[Date_Acq]],TODAY(),"m"),DATEDIF(Table1[[#This Row],[Date_Acq]],Table1[[#This Row],[Inactive_Date]],"m"))</f>
        <v>1402</v>
      </c>
    </row>
    <row r="508" spans="1:26" s="16" customFormat="1" hidden="1" x14ac:dyDescent="0.4">
      <c r="A508" s="6"/>
      <c r="B508" s="7" t="s">
        <v>881</v>
      </c>
      <c r="C508" s="4">
        <v>42494</v>
      </c>
      <c r="D508" s="1"/>
      <c r="E508" s="1" t="s">
        <v>882</v>
      </c>
      <c r="F508" s="1"/>
      <c r="G508" s="1">
        <v>999</v>
      </c>
      <c r="H508" s="21"/>
      <c r="I508" s="21" t="s">
        <v>13</v>
      </c>
      <c r="J508" s="1" t="s">
        <v>38</v>
      </c>
      <c r="K508" s="1" t="s">
        <v>34</v>
      </c>
      <c r="L508" s="1" t="s">
        <v>51</v>
      </c>
      <c r="M508" s="1"/>
      <c r="N508" s="1" t="s">
        <v>883</v>
      </c>
      <c r="O508" s="1" t="s">
        <v>884</v>
      </c>
      <c r="P508" s="1">
        <v>997239</v>
      </c>
      <c r="Q508" s="1"/>
      <c r="R508" s="1"/>
      <c r="S508" s="1"/>
      <c r="T508" s="1"/>
      <c r="U508" s="1"/>
      <c r="V508" s="1"/>
      <c r="W508" s="1"/>
      <c r="X508" s="1"/>
      <c r="Y508" s="1"/>
      <c r="Z508" s="1">
        <f ca="1">IF(Table1[[#This Row],[Inactive_Date]]="",DATEDIF(Table1[[#This Row],[Date_Acq]],TODAY(),"m"),DATEDIF(Table1[[#This Row],[Date_Acq]],Table1[[#This Row],[Inactive_Date]],"m"))</f>
        <v>6</v>
      </c>
    </row>
    <row r="509" spans="1:26" s="16" customFormat="1" hidden="1" x14ac:dyDescent="0.4">
      <c r="A509" s="6"/>
      <c r="B509" s="7" t="s">
        <v>885</v>
      </c>
      <c r="C509" s="2"/>
      <c r="D509" s="1"/>
      <c r="E509" s="1" t="s">
        <v>854</v>
      </c>
      <c r="F509" s="1" t="s">
        <v>886</v>
      </c>
      <c r="G509" s="1">
        <v>850</v>
      </c>
      <c r="H509" s="21"/>
      <c r="I509" s="21" t="s">
        <v>13</v>
      </c>
      <c r="J509" s="1" t="s">
        <v>38</v>
      </c>
      <c r="K509" s="1" t="s">
        <v>34</v>
      </c>
      <c r="L509" s="1"/>
      <c r="M509" s="1"/>
      <c r="N509" s="1" t="s">
        <v>887</v>
      </c>
      <c r="O509" s="1" t="s">
        <v>888</v>
      </c>
      <c r="P509" s="1" t="s">
        <v>889</v>
      </c>
      <c r="Q509" s="1"/>
      <c r="R509" s="1"/>
      <c r="S509" s="1"/>
      <c r="T509" s="1"/>
      <c r="U509" s="1"/>
      <c r="V509" s="1"/>
      <c r="W509" s="1"/>
      <c r="X509" s="1"/>
      <c r="Y509" s="1"/>
      <c r="Z509" s="1">
        <f ca="1">IF(Table1[[#This Row],[Inactive_Date]]="",DATEDIF(Table1[[#This Row],[Date_Acq]],TODAY(),"m"),DATEDIF(Table1[[#This Row],[Date_Acq]],Table1[[#This Row],[Inactive_Date]],"m"))</f>
        <v>1402</v>
      </c>
    </row>
    <row r="510" spans="1:26" s="16" customFormat="1" hidden="1" x14ac:dyDescent="0.4">
      <c r="A510" s="6"/>
      <c r="B510" s="7" t="s">
        <v>890</v>
      </c>
      <c r="C510" s="4">
        <v>37745</v>
      </c>
      <c r="D510" s="1"/>
      <c r="E510" s="1" t="s">
        <v>891</v>
      </c>
      <c r="F510" s="1"/>
      <c r="G510" s="1">
        <v>999</v>
      </c>
      <c r="H510" s="21"/>
      <c r="I510" s="21" t="s">
        <v>13</v>
      </c>
      <c r="J510" s="1" t="s">
        <v>38</v>
      </c>
      <c r="K510" s="1" t="s">
        <v>34</v>
      </c>
      <c r="L510" s="1" t="s">
        <v>51</v>
      </c>
      <c r="M510" s="1"/>
      <c r="N510" s="1" t="s">
        <v>892</v>
      </c>
      <c r="O510" s="1" t="s">
        <v>893</v>
      </c>
      <c r="P510" s="1" t="s">
        <v>894</v>
      </c>
      <c r="Q510" s="1"/>
      <c r="R510" s="1"/>
      <c r="S510" s="1"/>
      <c r="T510" s="1"/>
      <c r="U510" s="1"/>
      <c r="V510" s="1"/>
      <c r="W510" s="1"/>
      <c r="X510" s="1"/>
      <c r="Y510" s="1"/>
      <c r="Z510" s="1">
        <f ca="1">IF(Table1[[#This Row],[Inactive_Date]]="",DATEDIF(Table1[[#This Row],[Date_Acq]],TODAY(),"m"),DATEDIF(Table1[[#This Row],[Date_Acq]],Table1[[#This Row],[Inactive_Date]],"m"))</f>
        <v>162</v>
      </c>
    </row>
    <row r="511" spans="1:26" s="16" customFormat="1" hidden="1" x14ac:dyDescent="0.4">
      <c r="A511" s="6"/>
      <c r="B511" s="7" t="s">
        <v>895</v>
      </c>
      <c r="C511" s="2"/>
      <c r="D511" s="1"/>
      <c r="E511" s="1" t="s">
        <v>896</v>
      </c>
      <c r="F511" s="1"/>
      <c r="G511" s="1">
        <v>500</v>
      </c>
      <c r="H511" s="21"/>
      <c r="I511" s="21" t="s">
        <v>13</v>
      </c>
      <c r="J511" s="1" t="s">
        <v>38</v>
      </c>
      <c r="K511" s="1" t="s">
        <v>34</v>
      </c>
      <c r="L511" s="1" t="s">
        <v>51</v>
      </c>
      <c r="M511" s="1"/>
      <c r="N511" s="1" t="s">
        <v>897</v>
      </c>
      <c r="O511" s="1" t="s">
        <v>898</v>
      </c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>
        <f ca="1">IF(Table1[[#This Row],[Inactive_Date]]="",DATEDIF(Table1[[#This Row],[Date_Acq]],TODAY(),"m"),DATEDIF(Table1[[#This Row],[Date_Acq]],Table1[[#This Row],[Inactive_Date]],"m"))</f>
        <v>1402</v>
      </c>
    </row>
    <row r="512" spans="1:26" s="16" customFormat="1" hidden="1" x14ac:dyDescent="0.4">
      <c r="A512" s="6"/>
      <c r="B512" s="7" t="s">
        <v>899</v>
      </c>
      <c r="C512" s="2"/>
      <c r="D512" s="1"/>
      <c r="E512" s="1" t="s">
        <v>900</v>
      </c>
      <c r="F512" s="1"/>
      <c r="G512" s="1">
        <v>500</v>
      </c>
      <c r="H512" s="21"/>
      <c r="I512" s="21" t="s">
        <v>13</v>
      </c>
      <c r="J512" s="1" t="s">
        <v>38</v>
      </c>
      <c r="K512" s="1" t="s">
        <v>34</v>
      </c>
      <c r="L512" s="1" t="s">
        <v>51</v>
      </c>
      <c r="M512" s="1"/>
      <c r="N512" s="1" t="s">
        <v>901</v>
      </c>
      <c r="O512" s="1">
        <v>807822023312</v>
      </c>
      <c r="P512" s="1" t="s">
        <v>902</v>
      </c>
      <c r="Q512" s="1"/>
      <c r="R512" s="1"/>
      <c r="S512" s="1" t="s">
        <v>903</v>
      </c>
      <c r="T512" s="1"/>
      <c r="U512" s="1"/>
      <c r="V512" s="1"/>
      <c r="W512" s="1"/>
      <c r="X512" s="1"/>
      <c r="Y512" s="1"/>
      <c r="Z512" s="1">
        <f ca="1">IF(Table1[[#This Row],[Inactive_Date]]="",DATEDIF(Table1[[#This Row],[Date_Acq]],TODAY(),"m"),DATEDIF(Table1[[#This Row],[Date_Acq]],Table1[[#This Row],[Inactive_Date]],"m"))</f>
        <v>1402</v>
      </c>
    </row>
    <row r="513" spans="1:26" s="16" customFormat="1" hidden="1" x14ac:dyDescent="0.4">
      <c r="A513" s="6"/>
      <c r="B513" s="7" t="s">
        <v>904</v>
      </c>
      <c r="C513" s="2"/>
      <c r="D513" s="1"/>
      <c r="E513" s="1" t="s">
        <v>873</v>
      </c>
      <c r="F513" s="1"/>
      <c r="G513" s="1">
        <v>300</v>
      </c>
      <c r="H513" s="21"/>
      <c r="I513" s="21" t="s">
        <v>13</v>
      </c>
      <c r="J513" s="1" t="s">
        <v>38</v>
      </c>
      <c r="K513" s="1" t="s">
        <v>34</v>
      </c>
      <c r="L513" s="1" t="s">
        <v>51</v>
      </c>
      <c r="M513" s="1"/>
      <c r="N513" s="1" t="s">
        <v>874</v>
      </c>
      <c r="O513" s="1" t="s">
        <v>875</v>
      </c>
      <c r="P513" s="1"/>
      <c r="Q513" s="1"/>
      <c r="R513" s="1"/>
      <c r="S513" s="1"/>
      <c r="T513" s="1"/>
      <c r="U513" s="3">
        <v>42494</v>
      </c>
      <c r="V513" s="1"/>
      <c r="W513" s="1"/>
      <c r="X513" s="1"/>
      <c r="Y513" s="1"/>
      <c r="Z513" s="1">
        <f ca="1">IF(Table1[[#This Row],[Inactive_Date]]="",DATEDIF(Table1[[#This Row],[Date_Acq]],TODAY(),"m"),DATEDIF(Table1[[#This Row],[Date_Acq]],Table1[[#This Row],[Inactive_Date]],"m"))</f>
        <v>1402</v>
      </c>
    </row>
    <row r="514" spans="1:26" s="16" customFormat="1" hidden="1" x14ac:dyDescent="0.4">
      <c r="A514" s="6"/>
      <c r="B514" s="7" t="s">
        <v>905</v>
      </c>
      <c r="C514" s="2"/>
      <c r="D514" s="1"/>
      <c r="E514" s="1" t="s">
        <v>873</v>
      </c>
      <c r="F514" s="1"/>
      <c r="G514" s="1">
        <v>300</v>
      </c>
      <c r="H514" s="21"/>
      <c r="I514" s="21" t="s">
        <v>13</v>
      </c>
      <c r="J514" s="1" t="s">
        <v>38</v>
      </c>
      <c r="K514" s="1" t="s">
        <v>34</v>
      </c>
      <c r="L514" s="1" t="s">
        <v>51</v>
      </c>
      <c r="M514" s="1"/>
      <c r="N514" s="1" t="s">
        <v>874</v>
      </c>
      <c r="O514" s="1" t="s">
        <v>875</v>
      </c>
      <c r="P514" s="1"/>
      <c r="Q514" s="1"/>
      <c r="R514" s="1"/>
      <c r="S514" s="1"/>
      <c r="T514" s="1"/>
      <c r="U514" s="3">
        <v>42494</v>
      </c>
      <c r="V514" s="1"/>
      <c r="W514" s="1"/>
      <c r="X514" s="1"/>
      <c r="Y514" s="1"/>
      <c r="Z514" s="1">
        <f ca="1">IF(Table1[[#This Row],[Inactive_Date]]="",DATEDIF(Table1[[#This Row],[Date_Acq]],TODAY(),"m"),DATEDIF(Table1[[#This Row],[Date_Acq]],Table1[[#This Row],[Inactive_Date]],"m"))</f>
        <v>1402</v>
      </c>
    </row>
    <row r="515" spans="1:26" s="16" customFormat="1" hidden="1" x14ac:dyDescent="0.4">
      <c r="A515" s="6"/>
      <c r="B515" s="7" t="s">
        <v>906</v>
      </c>
      <c r="C515" s="2"/>
      <c r="D515" s="1"/>
      <c r="E515" s="1" t="s">
        <v>873</v>
      </c>
      <c r="F515" s="1"/>
      <c r="G515" s="1">
        <v>300</v>
      </c>
      <c r="H515" s="21"/>
      <c r="I515" s="21" t="s">
        <v>13</v>
      </c>
      <c r="J515" s="1" t="s">
        <v>38</v>
      </c>
      <c r="K515" s="1" t="s">
        <v>34</v>
      </c>
      <c r="L515" s="1" t="s">
        <v>51</v>
      </c>
      <c r="M515" s="1"/>
      <c r="N515" s="1" t="s">
        <v>874</v>
      </c>
      <c r="O515" s="1" t="s">
        <v>875</v>
      </c>
      <c r="P515" s="1"/>
      <c r="Q515" s="1"/>
      <c r="R515" s="1"/>
      <c r="S515" s="1"/>
      <c r="T515" s="1"/>
      <c r="U515" s="3">
        <v>42494</v>
      </c>
      <c r="V515" s="1"/>
      <c r="W515" s="1"/>
      <c r="X515" s="1"/>
      <c r="Y515" s="1"/>
      <c r="Z515" s="1">
        <f ca="1">IF(Table1[[#This Row],[Inactive_Date]]="",DATEDIF(Table1[[#This Row],[Date_Acq]],TODAY(),"m"),DATEDIF(Table1[[#This Row],[Date_Acq]],Table1[[#This Row],[Inactive_Date]],"m"))</f>
        <v>1402</v>
      </c>
    </row>
    <row r="516" spans="1:26" s="16" customFormat="1" hidden="1" x14ac:dyDescent="0.4">
      <c r="A516" s="6"/>
      <c r="B516" s="7" t="s">
        <v>907</v>
      </c>
      <c r="C516" s="2"/>
      <c r="D516" s="1"/>
      <c r="E516" s="1" t="s">
        <v>873</v>
      </c>
      <c r="F516" s="1"/>
      <c r="G516" s="1">
        <v>300</v>
      </c>
      <c r="H516" s="21"/>
      <c r="I516" s="21" t="s">
        <v>13</v>
      </c>
      <c r="J516" s="1" t="s">
        <v>38</v>
      </c>
      <c r="K516" s="1" t="s">
        <v>34</v>
      </c>
      <c r="L516" s="1" t="s">
        <v>51</v>
      </c>
      <c r="M516" s="1"/>
      <c r="N516" s="1" t="s">
        <v>874</v>
      </c>
      <c r="O516" s="1" t="s">
        <v>875</v>
      </c>
      <c r="P516" s="1"/>
      <c r="Q516" s="1"/>
      <c r="R516" s="1"/>
      <c r="S516" s="1"/>
      <c r="T516" s="1"/>
      <c r="U516" s="3">
        <v>42494</v>
      </c>
      <c r="V516" s="1"/>
      <c r="W516" s="1"/>
      <c r="X516" s="1"/>
      <c r="Y516" s="1"/>
      <c r="Z516" s="1">
        <f ca="1">IF(Table1[[#This Row],[Inactive_Date]]="",DATEDIF(Table1[[#This Row],[Date_Acq]],TODAY(),"m"),DATEDIF(Table1[[#This Row],[Date_Acq]],Table1[[#This Row],[Inactive_Date]],"m"))</f>
        <v>1402</v>
      </c>
    </row>
    <row r="517" spans="1:26" s="16" customFormat="1" hidden="1" x14ac:dyDescent="0.4">
      <c r="A517" s="6"/>
      <c r="B517" s="7" t="s">
        <v>908</v>
      </c>
      <c r="C517" s="2"/>
      <c r="D517" s="1"/>
      <c r="E517" s="1" t="s">
        <v>873</v>
      </c>
      <c r="F517" s="1"/>
      <c r="G517" s="1">
        <v>300</v>
      </c>
      <c r="H517" s="21"/>
      <c r="I517" s="21" t="s">
        <v>13</v>
      </c>
      <c r="J517" s="1" t="s">
        <v>38</v>
      </c>
      <c r="K517" s="1" t="s">
        <v>34</v>
      </c>
      <c r="L517" s="1" t="s">
        <v>51</v>
      </c>
      <c r="M517" s="1"/>
      <c r="N517" s="1" t="s">
        <v>874</v>
      </c>
      <c r="O517" s="1" t="s">
        <v>875</v>
      </c>
      <c r="P517" s="1"/>
      <c r="Q517" s="1"/>
      <c r="R517" s="1"/>
      <c r="S517" s="1"/>
      <c r="T517" s="1"/>
      <c r="U517" s="3">
        <v>42494</v>
      </c>
      <c r="V517" s="1"/>
      <c r="W517" s="1"/>
      <c r="X517" s="1"/>
      <c r="Y517" s="1"/>
      <c r="Z517" s="1">
        <f ca="1">IF(Table1[[#This Row],[Inactive_Date]]="",DATEDIF(Table1[[#This Row],[Date_Acq]],TODAY(),"m"),DATEDIF(Table1[[#This Row],[Date_Acq]],Table1[[#This Row],[Inactive_Date]],"m"))</f>
        <v>1402</v>
      </c>
    </row>
    <row r="518" spans="1:26" s="16" customFormat="1" hidden="1" x14ac:dyDescent="0.4">
      <c r="A518" s="6"/>
      <c r="B518" s="7" t="s">
        <v>909</v>
      </c>
      <c r="C518" s="2"/>
      <c r="D518" s="1"/>
      <c r="E518" s="1" t="s">
        <v>873</v>
      </c>
      <c r="F518" s="1"/>
      <c r="G518" s="1">
        <v>300</v>
      </c>
      <c r="H518" s="21"/>
      <c r="I518" s="21" t="s">
        <v>13</v>
      </c>
      <c r="J518" s="1" t="s">
        <v>38</v>
      </c>
      <c r="K518" s="1" t="s">
        <v>34</v>
      </c>
      <c r="L518" s="1" t="s">
        <v>51</v>
      </c>
      <c r="M518" s="1"/>
      <c r="N518" s="1" t="s">
        <v>874</v>
      </c>
      <c r="O518" s="1" t="s">
        <v>875</v>
      </c>
      <c r="P518" s="1"/>
      <c r="Q518" s="1"/>
      <c r="R518" s="1"/>
      <c r="S518" s="1"/>
      <c r="T518" s="1"/>
      <c r="U518" s="3">
        <v>42494</v>
      </c>
      <c r="V518" s="1"/>
      <c r="W518" s="1"/>
      <c r="X518" s="1"/>
      <c r="Y518" s="1"/>
      <c r="Z518" s="1">
        <f ca="1">IF(Table1[[#This Row],[Inactive_Date]]="",DATEDIF(Table1[[#This Row],[Date_Acq]],TODAY(),"m"),DATEDIF(Table1[[#This Row],[Date_Acq]],Table1[[#This Row],[Inactive_Date]],"m"))</f>
        <v>1402</v>
      </c>
    </row>
    <row r="519" spans="1:26" s="16" customFormat="1" hidden="1" x14ac:dyDescent="0.4">
      <c r="A519" s="6"/>
      <c r="B519" s="7" t="s">
        <v>910</v>
      </c>
      <c r="C519" s="2"/>
      <c r="D519" s="1"/>
      <c r="E519" s="1" t="s">
        <v>911</v>
      </c>
      <c r="F519" s="1"/>
      <c r="G519" s="1">
        <v>600</v>
      </c>
      <c r="H519" s="21"/>
      <c r="I519" s="21" t="s">
        <v>13</v>
      </c>
      <c r="J519" s="1" t="s">
        <v>38</v>
      </c>
      <c r="K519" s="1" t="s">
        <v>34</v>
      </c>
      <c r="L519" s="1" t="s">
        <v>51</v>
      </c>
      <c r="M519" s="1"/>
      <c r="N519" s="1" t="s">
        <v>912</v>
      </c>
      <c r="O519" s="1"/>
      <c r="P519" s="1">
        <v>130533</v>
      </c>
      <c r="Q519" s="1"/>
      <c r="R519" s="1"/>
      <c r="S519" s="1"/>
      <c r="T519" s="1"/>
      <c r="U519" s="1"/>
      <c r="V519" s="1"/>
      <c r="W519" s="1"/>
      <c r="X519" s="1"/>
      <c r="Y519" s="1"/>
      <c r="Z519" s="1">
        <f ca="1">IF(Table1[[#This Row],[Inactive_Date]]="",DATEDIF(Table1[[#This Row],[Date_Acq]],TODAY(),"m"),DATEDIF(Table1[[#This Row],[Date_Acq]],Table1[[#This Row],[Inactive_Date]],"m"))</f>
        <v>1402</v>
      </c>
    </row>
    <row r="520" spans="1:26" s="16" customFormat="1" hidden="1" x14ac:dyDescent="0.4">
      <c r="A520" s="6"/>
      <c r="B520" s="7" t="s">
        <v>913</v>
      </c>
      <c r="C520" s="2"/>
      <c r="D520" s="1"/>
      <c r="E520" s="1" t="s">
        <v>914</v>
      </c>
      <c r="F520" s="1"/>
      <c r="G520" s="1">
        <v>999</v>
      </c>
      <c r="H520" s="21"/>
      <c r="I520" s="21" t="s">
        <v>13</v>
      </c>
      <c r="J520" s="1" t="s">
        <v>38</v>
      </c>
      <c r="K520" s="1" t="s">
        <v>34</v>
      </c>
      <c r="L520" s="1" t="s">
        <v>51</v>
      </c>
      <c r="M520" s="1"/>
      <c r="N520" s="1" t="s">
        <v>892</v>
      </c>
      <c r="O520" s="1" t="s">
        <v>915</v>
      </c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>
        <f ca="1">IF(Table1[[#This Row],[Inactive_Date]]="",DATEDIF(Table1[[#This Row],[Date_Acq]],TODAY(),"m"),DATEDIF(Table1[[#This Row],[Date_Acq]],Table1[[#This Row],[Inactive_Date]],"m"))</f>
        <v>1402</v>
      </c>
    </row>
    <row r="521" spans="1:26" s="16" customFormat="1" hidden="1" x14ac:dyDescent="0.4">
      <c r="A521" s="6"/>
      <c r="B521" s="7" t="s">
        <v>916</v>
      </c>
      <c r="C521" s="2"/>
      <c r="D521" s="1"/>
      <c r="E521" s="1" t="s">
        <v>917</v>
      </c>
      <c r="F521" s="1"/>
      <c r="G521" s="1">
        <v>500</v>
      </c>
      <c r="H521" s="21"/>
      <c r="I521" s="21" t="s">
        <v>13</v>
      </c>
      <c r="J521" s="1" t="s">
        <v>38</v>
      </c>
      <c r="K521" s="1" t="s">
        <v>34</v>
      </c>
      <c r="L521" s="1" t="s">
        <v>51</v>
      </c>
      <c r="M521" s="1"/>
      <c r="N521" s="1" t="s">
        <v>918</v>
      </c>
      <c r="O521" s="1"/>
      <c r="P521" s="1"/>
      <c r="Q521" s="1"/>
      <c r="R521" s="1"/>
      <c r="S521" s="1" t="s">
        <v>919</v>
      </c>
      <c r="T521" s="1"/>
      <c r="U521" s="1"/>
      <c r="V521" s="1"/>
      <c r="W521" s="1"/>
      <c r="X521" s="1"/>
      <c r="Y521" s="1"/>
      <c r="Z521" s="1">
        <f ca="1">IF(Table1[[#This Row],[Inactive_Date]]="",DATEDIF(Table1[[#This Row],[Date_Acq]],TODAY(),"m"),DATEDIF(Table1[[#This Row],[Date_Acq]],Table1[[#This Row],[Inactive_Date]],"m"))</f>
        <v>1402</v>
      </c>
    </row>
    <row r="522" spans="1:26" s="16" customFormat="1" x14ac:dyDescent="0.4">
      <c r="A522" s="6"/>
      <c r="B522" s="7" t="s">
        <v>920</v>
      </c>
      <c r="C522" s="2"/>
      <c r="D522" s="1"/>
      <c r="E522" s="1" t="s">
        <v>921</v>
      </c>
      <c r="F522" s="1"/>
      <c r="G522" s="1">
        <v>2400</v>
      </c>
      <c r="H522" s="21"/>
      <c r="I522" s="21" t="s">
        <v>13</v>
      </c>
      <c r="J522" s="1" t="s">
        <v>38</v>
      </c>
      <c r="K522" s="1"/>
      <c r="L522" s="1"/>
      <c r="M522" s="1"/>
      <c r="N522" s="1" t="s">
        <v>922</v>
      </c>
      <c r="O522" s="1" t="s">
        <v>923</v>
      </c>
      <c r="P522" s="1" t="s">
        <v>924</v>
      </c>
      <c r="Q522" s="1"/>
      <c r="R522" s="1"/>
      <c r="S522" s="1"/>
      <c r="T522" s="1"/>
      <c r="U522" s="1"/>
      <c r="V522" s="1"/>
      <c r="W522" s="1"/>
      <c r="X522" s="1"/>
      <c r="Y522" s="1"/>
      <c r="Z522" s="1">
        <f ca="1">IF(Table1[[#This Row],[Inactive_Date]]="",DATEDIF(Table1[[#This Row],[Date_Acq]],TODAY(),"m"),DATEDIF(Table1[[#This Row],[Date_Acq]],Table1[[#This Row],[Inactive_Date]],"m"))</f>
        <v>1402</v>
      </c>
    </row>
    <row r="523" spans="1:26" s="16" customFormat="1" x14ac:dyDescent="0.4">
      <c r="A523" s="6"/>
      <c r="B523" s="7" t="s">
        <v>925</v>
      </c>
      <c r="C523" s="2"/>
      <c r="D523" s="1"/>
      <c r="E523" s="1" t="s">
        <v>921</v>
      </c>
      <c r="F523" s="1"/>
      <c r="G523" s="1">
        <v>2400</v>
      </c>
      <c r="H523" s="21"/>
      <c r="I523" s="21" t="s">
        <v>13</v>
      </c>
      <c r="J523" s="1" t="s">
        <v>38</v>
      </c>
      <c r="K523" s="1"/>
      <c r="L523" s="1"/>
      <c r="M523" s="1"/>
      <c r="N523" s="1" t="s">
        <v>922</v>
      </c>
      <c r="O523" s="1" t="s">
        <v>923</v>
      </c>
      <c r="P523" s="1" t="s">
        <v>926</v>
      </c>
      <c r="Q523" s="1"/>
      <c r="R523" s="1"/>
      <c r="S523" s="1"/>
      <c r="T523" s="1"/>
      <c r="U523" s="1"/>
      <c r="V523" s="1"/>
      <c r="W523" s="1"/>
      <c r="X523" s="1"/>
      <c r="Y523" s="1"/>
      <c r="Z523" s="1">
        <f ca="1">IF(Table1[[#This Row],[Inactive_Date]]="",DATEDIF(Table1[[#This Row],[Date_Acq]],TODAY(),"m"),DATEDIF(Table1[[#This Row],[Date_Acq]],Table1[[#This Row],[Inactive_Date]],"m"))</f>
        <v>1402</v>
      </c>
    </row>
    <row r="524" spans="1:26" s="16" customFormat="1" x14ac:dyDescent="0.4">
      <c r="A524" s="6"/>
      <c r="B524" s="7" t="s">
        <v>927</v>
      </c>
      <c r="C524" s="2"/>
      <c r="D524" s="1"/>
      <c r="E524" s="1" t="s">
        <v>921</v>
      </c>
      <c r="F524" s="1"/>
      <c r="G524" s="1">
        <v>2400</v>
      </c>
      <c r="H524" s="21"/>
      <c r="I524" s="21" t="s">
        <v>13</v>
      </c>
      <c r="J524" s="1" t="s">
        <v>38</v>
      </c>
      <c r="K524" s="1"/>
      <c r="L524" s="1"/>
      <c r="M524" s="1"/>
      <c r="N524" s="1" t="s">
        <v>922</v>
      </c>
      <c r="O524" s="1" t="s">
        <v>923</v>
      </c>
      <c r="P524" s="1" t="s">
        <v>928</v>
      </c>
      <c r="Q524" s="1"/>
      <c r="R524" s="1"/>
      <c r="S524" s="1"/>
      <c r="T524" s="1"/>
      <c r="U524" s="1"/>
      <c r="V524" s="1"/>
      <c r="W524" s="1"/>
      <c r="X524" s="1"/>
      <c r="Y524" s="1"/>
      <c r="Z524" s="1">
        <f ca="1">IF(Table1[[#This Row],[Inactive_Date]]="",DATEDIF(Table1[[#This Row],[Date_Acq]],TODAY(),"m"),DATEDIF(Table1[[#This Row],[Date_Acq]],Table1[[#This Row],[Inactive_Date]],"m"))</f>
        <v>1402</v>
      </c>
    </row>
    <row r="525" spans="1:26" s="16" customFormat="1" x14ac:dyDescent="0.4">
      <c r="A525" s="6"/>
      <c r="B525" s="7" t="s">
        <v>929</v>
      </c>
      <c r="C525" s="2"/>
      <c r="D525" s="1"/>
      <c r="E525" s="1" t="s">
        <v>921</v>
      </c>
      <c r="F525" s="1"/>
      <c r="G525" s="1">
        <v>2400</v>
      </c>
      <c r="H525" s="21"/>
      <c r="I525" s="21" t="s">
        <v>13</v>
      </c>
      <c r="J525" s="1" t="s">
        <v>38</v>
      </c>
      <c r="K525" s="1"/>
      <c r="L525" s="1"/>
      <c r="M525" s="1"/>
      <c r="N525" s="1" t="s">
        <v>922</v>
      </c>
      <c r="O525" s="1" t="s">
        <v>923</v>
      </c>
      <c r="P525" s="1" t="s">
        <v>930</v>
      </c>
      <c r="Q525" s="1"/>
      <c r="R525" s="1"/>
      <c r="S525" s="1"/>
      <c r="T525" s="1"/>
      <c r="U525" s="1"/>
      <c r="V525" s="1"/>
      <c r="W525" s="1"/>
      <c r="X525" s="1"/>
      <c r="Y525" s="1"/>
      <c r="Z525" s="1">
        <f ca="1">IF(Table1[[#This Row],[Inactive_Date]]="",DATEDIF(Table1[[#This Row],[Date_Acq]],TODAY(),"m"),DATEDIF(Table1[[#This Row],[Date_Acq]],Table1[[#This Row],[Inactive_Date]],"m"))</f>
        <v>1402</v>
      </c>
    </row>
    <row r="526" spans="1:26" s="16" customFormat="1" hidden="1" x14ac:dyDescent="0.4">
      <c r="A526" s="6"/>
      <c r="B526" s="7" t="s">
        <v>931</v>
      </c>
      <c r="C526" s="2"/>
      <c r="D526" s="1"/>
      <c r="E526" s="1" t="s">
        <v>932</v>
      </c>
      <c r="F526" s="1" t="s">
        <v>933</v>
      </c>
      <c r="G526" s="1">
        <v>345</v>
      </c>
      <c r="H526" s="21"/>
      <c r="I526" s="21" t="s">
        <v>13</v>
      </c>
      <c r="J526" s="1" t="s">
        <v>38</v>
      </c>
      <c r="K526" s="1" t="s">
        <v>34</v>
      </c>
      <c r="L526" s="1"/>
      <c r="M526" s="1"/>
      <c r="N526" s="1" t="s">
        <v>934</v>
      </c>
      <c r="O526" s="1" t="s">
        <v>935</v>
      </c>
      <c r="P526" s="1" t="s">
        <v>936</v>
      </c>
      <c r="Q526" s="1"/>
      <c r="R526" s="1"/>
      <c r="S526" s="1"/>
      <c r="T526" s="1"/>
      <c r="U526" s="1"/>
      <c r="V526" s="1"/>
      <c r="W526" s="1"/>
      <c r="X526" s="1"/>
      <c r="Y526" s="1"/>
      <c r="Z526" s="1">
        <f ca="1">IF(Table1[[#This Row],[Inactive_Date]]="",DATEDIF(Table1[[#This Row],[Date_Acq]],TODAY(),"m"),DATEDIF(Table1[[#This Row],[Date_Acq]],Table1[[#This Row],[Inactive_Date]],"m"))</f>
        <v>1402</v>
      </c>
    </row>
    <row r="527" spans="1:26" s="17" customFormat="1" x14ac:dyDescent="0.4">
      <c r="A527" s="6"/>
      <c r="B527" s="7" t="s">
        <v>937</v>
      </c>
      <c r="C527" s="2"/>
      <c r="D527" s="2"/>
      <c r="E527" s="2" t="s">
        <v>519</v>
      </c>
      <c r="F527" s="2" t="s">
        <v>519</v>
      </c>
      <c r="G527" s="2">
        <v>1500</v>
      </c>
      <c r="H527" s="21"/>
      <c r="I527" s="21" t="s">
        <v>108</v>
      </c>
      <c r="J527" s="2" t="s">
        <v>46</v>
      </c>
      <c r="K527" s="2" t="s">
        <v>39</v>
      </c>
      <c r="L527" s="2" t="s">
        <v>35</v>
      </c>
      <c r="M527" s="2"/>
      <c r="N527" s="2" t="s">
        <v>306</v>
      </c>
      <c r="O527" s="2" t="s">
        <v>406</v>
      </c>
      <c r="P527" s="2" t="s">
        <v>937</v>
      </c>
      <c r="Q527" s="2" t="s">
        <v>110</v>
      </c>
      <c r="R527" s="1">
        <v>1</v>
      </c>
      <c r="S527" s="2"/>
      <c r="T527" s="1" t="s">
        <v>410</v>
      </c>
      <c r="U527" s="1"/>
      <c r="V527" s="2"/>
      <c r="W527" s="2"/>
      <c r="X527" s="2"/>
      <c r="Y527" s="2"/>
      <c r="Z527" s="1">
        <f ca="1">IF(Table1[[#This Row],[Inactive_Date]]="",DATEDIF(Table1[[#This Row],[Date_Acq]],TODAY(),"m"),DATEDIF(Table1[[#This Row],[Date_Acq]],Table1[[#This Row],[Inactive_Date]],"m"))</f>
        <v>1402</v>
      </c>
    </row>
    <row r="528" spans="1:26" s="17" customFormat="1" hidden="1" x14ac:dyDescent="0.4">
      <c r="A528" s="6"/>
      <c r="B528" s="7" t="s">
        <v>938</v>
      </c>
      <c r="C528" s="4">
        <v>41582</v>
      </c>
      <c r="D528" s="2" t="s">
        <v>208</v>
      </c>
      <c r="E528" s="2" t="s">
        <v>519</v>
      </c>
      <c r="F528" s="2" t="s">
        <v>406</v>
      </c>
      <c r="G528" s="2">
        <v>949.99</v>
      </c>
      <c r="H528" s="21">
        <v>57520</v>
      </c>
      <c r="I528" s="21" t="s">
        <v>13</v>
      </c>
      <c r="J528" s="2" t="s">
        <v>46</v>
      </c>
      <c r="K528" s="2" t="s">
        <v>34</v>
      </c>
      <c r="L528" s="2" t="s">
        <v>35</v>
      </c>
      <c r="M528" s="2"/>
      <c r="N528" s="2" t="s">
        <v>306</v>
      </c>
      <c r="O528" s="2" t="s">
        <v>406</v>
      </c>
      <c r="P528" s="2" t="s">
        <v>938</v>
      </c>
      <c r="Q528" s="2" t="s">
        <v>446</v>
      </c>
      <c r="R528" s="1">
        <v>3</v>
      </c>
      <c r="S528" s="2"/>
      <c r="T528" s="1" t="s">
        <v>410</v>
      </c>
      <c r="U528" s="3">
        <v>41947</v>
      </c>
      <c r="V528" s="2"/>
      <c r="W528" s="2"/>
      <c r="X528" s="2"/>
      <c r="Y528" s="2"/>
      <c r="Z528" s="1">
        <f ca="1">IF(Table1[[#This Row],[Inactive_Date]]="",DATEDIF(Table1[[#This Row],[Date_Acq]],TODAY(),"m"),DATEDIF(Table1[[#This Row],[Date_Acq]],Table1[[#This Row],[Inactive_Date]],"m"))</f>
        <v>36</v>
      </c>
    </row>
    <row r="529" spans="1:26" s="17" customFormat="1" x14ac:dyDescent="0.4">
      <c r="A529" s="6"/>
      <c r="B529" s="7" t="s">
        <v>939</v>
      </c>
      <c r="C529" s="4">
        <v>41834</v>
      </c>
      <c r="D529" s="2" t="s">
        <v>405</v>
      </c>
      <c r="E529" s="2" t="s">
        <v>703</v>
      </c>
      <c r="F529" s="2" t="s">
        <v>703</v>
      </c>
      <c r="G529" s="2">
        <v>1195</v>
      </c>
      <c r="H529" s="21">
        <v>57520</v>
      </c>
      <c r="I529" s="21" t="s">
        <v>108</v>
      </c>
      <c r="J529" s="2" t="s">
        <v>46</v>
      </c>
      <c r="K529" s="2" t="s">
        <v>39</v>
      </c>
      <c r="L529" s="2" t="s">
        <v>35</v>
      </c>
      <c r="M529" s="2"/>
      <c r="N529" s="2" t="s">
        <v>306</v>
      </c>
      <c r="O529" s="2" t="s">
        <v>703</v>
      </c>
      <c r="P529" s="2" t="s">
        <v>939</v>
      </c>
      <c r="Q529" s="2" t="s">
        <v>446</v>
      </c>
      <c r="R529" s="1">
        <v>5</v>
      </c>
      <c r="S529" s="2"/>
      <c r="T529" s="1" t="s">
        <v>706</v>
      </c>
      <c r="U529" s="1"/>
      <c r="V529" s="2"/>
      <c r="W529" s="2"/>
      <c r="X529" s="2"/>
      <c r="Y529" s="2"/>
      <c r="Z529" s="1">
        <f ca="1">IF(Table1[[#This Row],[Inactive_Date]]="",DATEDIF(Table1[[#This Row],[Date_Acq]],TODAY(),"m"),DATEDIF(Table1[[#This Row],[Date_Acq]],Table1[[#This Row],[Inactive_Date]],"m"))</f>
        <v>28</v>
      </c>
    </row>
    <row r="530" spans="1:26" s="17" customFormat="1" x14ac:dyDescent="0.4">
      <c r="A530" s="6"/>
      <c r="B530" s="7" t="s">
        <v>940</v>
      </c>
      <c r="C530" s="4">
        <v>41778</v>
      </c>
      <c r="D530" s="2" t="s">
        <v>405</v>
      </c>
      <c r="E530" s="2" t="s">
        <v>703</v>
      </c>
      <c r="F530" s="2"/>
      <c r="G530" s="2">
        <v>1839</v>
      </c>
      <c r="H530" s="21">
        <v>57520</v>
      </c>
      <c r="I530" s="21" t="s">
        <v>13</v>
      </c>
      <c r="J530" s="2" t="s">
        <v>46</v>
      </c>
      <c r="K530" s="2" t="s">
        <v>39</v>
      </c>
      <c r="L530" s="2" t="s">
        <v>35</v>
      </c>
      <c r="M530" s="2"/>
      <c r="N530" s="2" t="s">
        <v>306</v>
      </c>
      <c r="O530" s="2" t="s">
        <v>703</v>
      </c>
      <c r="P530" s="2" t="s">
        <v>940</v>
      </c>
      <c r="Q530" s="2" t="s">
        <v>446</v>
      </c>
      <c r="R530" s="1">
        <v>5</v>
      </c>
      <c r="S530" s="2"/>
      <c r="T530" s="1" t="s">
        <v>410</v>
      </c>
      <c r="U530" s="1"/>
      <c r="V530" s="2"/>
      <c r="W530" s="2"/>
      <c r="X530" s="2"/>
      <c r="Y530" s="2"/>
      <c r="Z530" s="1">
        <f ca="1">IF(Table1[[#This Row],[Inactive_Date]]="",DATEDIF(Table1[[#This Row],[Date_Acq]],TODAY(),"m"),DATEDIF(Table1[[#This Row],[Date_Acq]],Table1[[#This Row],[Inactive_Date]],"m"))</f>
        <v>30</v>
      </c>
    </row>
    <row r="531" spans="1:26" s="17" customFormat="1" x14ac:dyDescent="0.4">
      <c r="A531" s="6"/>
      <c r="B531" s="7" t="s">
        <v>941</v>
      </c>
      <c r="C531" s="4">
        <v>41880</v>
      </c>
      <c r="D531" s="2" t="s">
        <v>405</v>
      </c>
      <c r="E531" s="2" t="s">
        <v>703</v>
      </c>
      <c r="F531" s="2" t="s">
        <v>703</v>
      </c>
      <c r="G531" s="2">
        <v>2943</v>
      </c>
      <c r="H531" s="21">
        <v>57520</v>
      </c>
      <c r="I531" s="21" t="s">
        <v>13</v>
      </c>
      <c r="J531" s="2" t="s">
        <v>46</v>
      </c>
      <c r="K531" s="2" t="s">
        <v>39</v>
      </c>
      <c r="L531" s="2" t="s">
        <v>35</v>
      </c>
      <c r="M531" s="2"/>
      <c r="N531" s="2" t="s">
        <v>306</v>
      </c>
      <c r="O531" s="2" t="s">
        <v>703</v>
      </c>
      <c r="P531" s="2" t="s">
        <v>941</v>
      </c>
      <c r="Q531" s="2" t="s">
        <v>942</v>
      </c>
      <c r="R531" s="1">
        <v>1</v>
      </c>
      <c r="S531" s="2"/>
      <c r="T531" s="1" t="s">
        <v>410</v>
      </c>
      <c r="U531" s="3">
        <v>42951</v>
      </c>
      <c r="V531" s="2"/>
      <c r="W531" s="2"/>
      <c r="X531" s="2"/>
      <c r="Y531" s="2"/>
      <c r="Z531" s="1">
        <f ca="1">IF(Table1[[#This Row],[Inactive_Date]]="",DATEDIF(Table1[[#This Row],[Date_Acq]],TODAY(),"m"),DATEDIF(Table1[[#This Row],[Date_Acq]],Table1[[#This Row],[Inactive_Date]],"m"))</f>
        <v>26</v>
      </c>
    </row>
    <row r="532" spans="1:26" s="17" customFormat="1" x14ac:dyDescent="0.4">
      <c r="A532" s="6"/>
      <c r="B532" s="7" t="s">
        <v>943</v>
      </c>
      <c r="C532" s="4">
        <v>41893</v>
      </c>
      <c r="D532" s="2" t="s">
        <v>405</v>
      </c>
      <c r="E532" s="2" t="s">
        <v>406</v>
      </c>
      <c r="F532" s="2" t="s">
        <v>519</v>
      </c>
      <c r="G532" s="2">
        <v>1195</v>
      </c>
      <c r="H532" s="21">
        <v>57520</v>
      </c>
      <c r="I532" s="21" t="s">
        <v>108</v>
      </c>
      <c r="J532" s="2" t="s">
        <v>46</v>
      </c>
      <c r="K532" s="2" t="s">
        <v>39</v>
      </c>
      <c r="L532" s="2" t="s">
        <v>35</v>
      </c>
      <c r="M532" s="2"/>
      <c r="N532" s="2" t="s">
        <v>306</v>
      </c>
      <c r="O532" s="2" t="s">
        <v>542</v>
      </c>
      <c r="P532" s="2" t="s">
        <v>943</v>
      </c>
      <c r="Q532" s="2" t="s">
        <v>110</v>
      </c>
      <c r="R532" s="1">
        <v>3</v>
      </c>
      <c r="S532" s="2"/>
      <c r="T532" s="1" t="s">
        <v>410</v>
      </c>
      <c r="U532" s="3">
        <v>43000</v>
      </c>
      <c r="V532" s="2"/>
      <c r="W532" s="2"/>
      <c r="X532" s="2"/>
      <c r="Y532" s="2"/>
      <c r="Z532" s="1">
        <f ca="1">IF(Table1[[#This Row],[Inactive_Date]]="",DATEDIF(Table1[[#This Row],[Date_Acq]],TODAY(),"m"),DATEDIF(Table1[[#This Row],[Date_Acq]],Table1[[#This Row],[Inactive_Date]],"m"))</f>
        <v>26</v>
      </c>
    </row>
    <row r="533" spans="1:26" s="17" customFormat="1" x14ac:dyDescent="0.4">
      <c r="A533" s="6"/>
      <c r="B533" s="7" t="s">
        <v>944</v>
      </c>
      <c r="C533" s="4">
        <v>41995</v>
      </c>
      <c r="D533" s="2" t="s">
        <v>405</v>
      </c>
      <c r="E533" s="2" t="s">
        <v>945</v>
      </c>
      <c r="F533" s="2" t="s">
        <v>703</v>
      </c>
      <c r="G533" s="2">
        <v>1839</v>
      </c>
      <c r="H533" s="21">
        <v>55700</v>
      </c>
      <c r="I533" s="21" t="s">
        <v>167</v>
      </c>
      <c r="J533" s="2" t="s">
        <v>46</v>
      </c>
      <c r="K533" s="2"/>
      <c r="L533" s="2" t="s">
        <v>946</v>
      </c>
      <c r="M533" s="2"/>
      <c r="N533" s="2" t="s">
        <v>947</v>
      </c>
      <c r="O533" s="2" t="s">
        <v>703</v>
      </c>
      <c r="P533" s="2" t="s">
        <v>944</v>
      </c>
      <c r="Q533" s="2"/>
      <c r="R533" s="1">
        <v>1</v>
      </c>
      <c r="S533" s="2"/>
      <c r="T533" s="1" t="s">
        <v>410</v>
      </c>
      <c r="U533" s="1"/>
      <c r="V533" s="2"/>
      <c r="W533" s="2"/>
      <c r="X533" s="2"/>
      <c r="Y533" s="2"/>
      <c r="Z533" s="1">
        <f ca="1">IF(Table1[[#This Row],[Inactive_Date]]="",DATEDIF(Table1[[#This Row],[Date_Acq]],TODAY(),"m"),DATEDIF(Table1[[#This Row],[Date_Acq]],Table1[[#This Row],[Inactive_Date]],"m"))</f>
        <v>23</v>
      </c>
    </row>
    <row r="534" spans="1:26" s="17" customFormat="1" x14ac:dyDescent="0.4">
      <c r="A534" s="6"/>
      <c r="B534" s="7" t="s">
        <v>948</v>
      </c>
      <c r="C534" s="2"/>
      <c r="D534" s="2"/>
      <c r="E534" s="2" t="s">
        <v>811</v>
      </c>
      <c r="F534" s="2" t="s">
        <v>949</v>
      </c>
      <c r="G534" s="2">
        <v>1500</v>
      </c>
      <c r="H534" s="21"/>
      <c r="I534" s="21" t="s">
        <v>108</v>
      </c>
      <c r="J534" s="2" t="s">
        <v>46</v>
      </c>
      <c r="K534" s="2" t="s">
        <v>39</v>
      </c>
      <c r="L534" s="2"/>
      <c r="M534" s="2"/>
      <c r="N534" s="2" t="s">
        <v>306</v>
      </c>
      <c r="O534" s="2" t="s">
        <v>950</v>
      </c>
      <c r="P534" s="2" t="s">
        <v>948</v>
      </c>
      <c r="Q534" s="2"/>
      <c r="R534" s="1">
        <v>5</v>
      </c>
      <c r="S534" s="2"/>
      <c r="T534" s="1"/>
      <c r="U534" s="1"/>
      <c r="V534" s="2"/>
      <c r="W534" s="2"/>
      <c r="X534" s="2"/>
      <c r="Y534" s="2"/>
      <c r="Z534" s="1">
        <f ca="1">IF(Table1[[#This Row],[Inactive_Date]]="",DATEDIF(Table1[[#This Row],[Date_Acq]],TODAY(),"m"),DATEDIF(Table1[[#This Row],[Date_Acq]],Table1[[#This Row],[Inactive_Date]],"m"))</f>
        <v>1402</v>
      </c>
    </row>
    <row r="535" spans="1:26" s="17" customFormat="1" hidden="1" x14ac:dyDescent="0.4">
      <c r="A535" s="6"/>
      <c r="B535" s="7" t="s">
        <v>951</v>
      </c>
      <c r="C535" s="4">
        <v>36892</v>
      </c>
      <c r="D535" s="2" t="s">
        <v>102</v>
      </c>
      <c r="E535" s="2" t="s">
        <v>952</v>
      </c>
      <c r="F535" s="2" t="s">
        <v>807</v>
      </c>
      <c r="G535" s="2">
        <v>700</v>
      </c>
      <c r="H535" s="21"/>
      <c r="I535" s="21" t="s">
        <v>796</v>
      </c>
      <c r="J535" s="2" t="s">
        <v>46</v>
      </c>
      <c r="K535" s="2" t="s">
        <v>34</v>
      </c>
      <c r="L535" s="2" t="s">
        <v>35</v>
      </c>
      <c r="M535" s="2"/>
      <c r="N535" s="2" t="s">
        <v>102</v>
      </c>
      <c r="O535" s="2" t="s">
        <v>953</v>
      </c>
      <c r="P535" s="2"/>
      <c r="Q535" s="2" t="s">
        <v>446</v>
      </c>
      <c r="R535" s="1">
        <v>3</v>
      </c>
      <c r="S535" s="2" t="s">
        <v>954</v>
      </c>
      <c r="T535" s="1"/>
      <c r="U535" s="1"/>
      <c r="V535" s="2"/>
      <c r="W535" s="2"/>
      <c r="X535" s="2"/>
      <c r="Y535" s="2"/>
      <c r="Z535" s="1">
        <f ca="1">IF(Table1[[#This Row],[Inactive_Date]]="",DATEDIF(Table1[[#This Row],[Date_Acq]],TODAY(),"m"),DATEDIF(Table1[[#This Row],[Date_Acq]],Table1[[#This Row],[Inactive_Date]],"m"))</f>
        <v>190</v>
      </c>
    </row>
    <row r="536" spans="1:26" s="17" customFormat="1" hidden="1" x14ac:dyDescent="0.4">
      <c r="A536" s="6"/>
      <c r="B536" s="7" t="s">
        <v>955</v>
      </c>
      <c r="C536" s="4">
        <v>41579</v>
      </c>
      <c r="D536" s="2" t="s">
        <v>821</v>
      </c>
      <c r="E536" s="2" t="s">
        <v>956</v>
      </c>
      <c r="F536" s="2" t="s">
        <v>957</v>
      </c>
      <c r="G536" s="2">
        <v>300</v>
      </c>
      <c r="H536" s="21">
        <v>57520</v>
      </c>
      <c r="I536" s="21" t="s">
        <v>13</v>
      </c>
      <c r="J536" s="2" t="s">
        <v>46</v>
      </c>
      <c r="K536" s="2" t="s">
        <v>34</v>
      </c>
      <c r="L536" s="2" t="s">
        <v>35</v>
      </c>
      <c r="M536" s="2"/>
      <c r="N536" s="2" t="s">
        <v>454</v>
      </c>
      <c r="O536" s="2" t="s">
        <v>455</v>
      </c>
      <c r="P536" s="2" t="s">
        <v>955</v>
      </c>
      <c r="Q536" s="2" t="s">
        <v>446</v>
      </c>
      <c r="R536" s="1">
        <v>3</v>
      </c>
      <c r="S536" s="2"/>
      <c r="T536" s="1" t="s">
        <v>706</v>
      </c>
      <c r="U536" s="1"/>
      <c r="V536" s="2"/>
      <c r="W536" s="2"/>
      <c r="X536" s="2"/>
      <c r="Y536" s="2"/>
      <c r="Z536" s="1">
        <f ca="1">IF(Table1[[#This Row],[Inactive_Date]]="",DATEDIF(Table1[[#This Row],[Date_Acq]],TODAY(),"m"),DATEDIF(Table1[[#This Row],[Date_Acq]],Table1[[#This Row],[Inactive_Date]],"m"))</f>
        <v>36</v>
      </c>
    </row>
    <row r="537" spans="1:26" s="17" customFormat="1" hidden="1" x14ac:dyDescent="0.4">
      <c r="A537" s="6"/>
      <c r="B537" s="7" t="s">
        <v>958</v>
      </c>
      <c r="C537" s="4">
        <v>41579</v>
      </c>
      <c r="D537" s="2" t="s">
        <v>452</v>
      </c>
      <c r="E537" s="2" t="s">
        <v>519</v>
      </c>
      <c r="F537" s="2"/>
      <c r="G537" s="2">
        <v>300</v>
      </c>
      <c r="H537" s="21">
        <v>57520</v>
      </c>
      <c r="I537" s="21" t="s">
        <v>796</v>
      </c>
      <c r="J537" s="2" t="s">
        <v>46</v>
      </c>
      <c r="K537" s="2" t="s">
        <v>34</v>
      </c>
      <c r="L537" s="2" t="s">
        <v>35</v>
      </c>
      <c r="M537" s="2"/>
      <c r="N537" s="2" t="s">
        <v>454</v>
      </c>
      <c r="O537" s="2" t="s">
        <v>455</v>
      </c>
      <c r="P537" s="2" t="s">
        <v>958</v>
      </c>
      <c r="Q537" s="2" t="s">
        <v>942</v>
      </c>
      <c r="R537" s="1">
        <v>3</v>
      </c>
      <c r="S537" s="2"/>
      <c r="T537" s="1" t="s">
        <v>410</v>
      </c>
      <c r="U537" s="1"/>
      <c r="V537" s="2"/>
      <c r="W537" s="2"/>
      <c r="X537" s="2"/>
      <c r="Y537" s="2"/>
      <c r="Z537" s="1">
        <f ca="1">IF(Table1[[#This Row],[Inactive_Date]]="",DATEDIF(Table1[[#This Row],[Date_Acq]],TODAY(),"m"),DATEDIF(Table1[[#This Row],[Date_Acq]],Table1[[#This Row],[Inactive_Date]],"m"))</f>
        <v>36</v>
      </c>
    </row>
    <row r="538" spans="1:26" s="17" customFormat="1" hidden="1" x14ac:dyDescent="0.4">
      <c r="A538" s="6"/>
      <c r="B538" s="7" t="s">
        <v>959</v>
      </c>
      <c r="C538" s="2"/>
      <c r="D538" s="2" t="s">
        <v>960</v>
      </c>
      <c r="E538" s="2" t="s">
        <v>453</v>
      </c>
      <c r="F538" s="2" t="s">
        <v>519</v>
      </c>
      <c r="G538" s="2">
        <v>300</v>
      </c>
      <c r="H538" s="21">
        <v>57520</v>
      </c>
      <c r="I538" s="21" t="s">
        <v>108</v>
      </c>
      <c r="J538" s="2" t="s">
        <v>46</v>
      </c>
      <c r="K538" s="2" t="s">
        <v>34</v>
      </c>
      <c r="L538" s="2" t="s">
        <v>35</v>
      </c>
      <c r="M538" s="2"/>
      <c r="N538" s="2" t="s">
        <v>454</v>
      </c>
      <c r="O538" s="2" t="s">
        <v>961</v>
      </c>
      <c r="P538" s="2" t="s">
        <v>959</v>
      </c>
      <c r="Q538" s="2" t="s">
        <v>446</v>
      </c>
      <c r="R538" s="1">
        <v>3</v>
      </c>
      <c r="S538" s="2" t="s">
        <v>962</v>
      </c>
      <c r="T538" s="1"/>
      <c r="U538" s="1"/>
      <c r="V538" s="2"/>
      <c r="W538" s="2"/>
      <c r="X538" s="2"/>
      <c r="Y538" s="2"/>
      <c r="Z538" s="1">
        <f ca="1">IF(Table1[[#This Row],[Inactive_Date]]="",DATEDIF(Table1[[#This Row],[Date_Acq]],TODAY(),"m"),DATEDIF(Table1[[#This Row],[Date_Acq]],Table1[[#This Row],[Inactive_Date]],"m"))</f>
        <v>1402</v>
      </c>
    </row>
    <row r="539" spans="1:26" s="17" customFormat="1" x14ac:dyDescent="0.4">
      <c r="A539" s="6"/>
      <c r="B539" s="7" t="s">
        <v>963</v>
      </c>
      <c r="C539" s="2"/>
      <c r="D539" s="2"/>
      <c r="E539" s="2" t="s">
        <v>964</v>
      </c>
      <c r="F539" s="2"/>
      <c r="G539" s="2"/>
      <c r="H539" s="21"/>
      <c r="I539" s="21" t="s">
        <v>796</v>
      </c>
      <c r="J539" s="2" t="s">
        <v>46</v>
      </c>
      <c r="K539" s="2" t="s">
        <v>39</v>
      </c>
      <c r="L539" s="2" t="s">
        <v>35</v>
      </c>
      <c r="M539" s="2"/>
      <c r="N539" s="2"/>
      <c r="O539" s="2"/>
      <c r="P539" s="2"/>
      <c r="Q539" s="2" t="s">
        <v>942</v>
      </c>
      <c r="R539" s="1">
        <v>1</v>
      </c>
      <c r="S539" s="2" t="s">
        <v>965</v>
      </c>
      <c r="T539" s="1" t="s">
        <v>410</v>
      </c>
      <c r="U539" s="1"/>
      <c r="V539" s="2"/>
      <c r="W539" s="2"/>
      <c r="X539" s="2"/>
      <c r="Y539" s="2"/>
      <c r="Z539" s="1">
        <f ca="1">IF(Table1[[#This Row],[Inactive_Date]]="",DATEDIF(Table1[[#This Row],[Date_Acq]],TODAY(),"m"),DATEDIF(Table1[[#This Row],[Date_Acq]],Table1[[#This Row],[Inactive_Date]],"m"))</f>
        <v>1402</v>
      </c>
    </row>
    <row r="540" spans="1:26" s="17" customFormat="1" hidden="1" x14ac:dyDescent="0.4">
      <c r="A540" s="6"/>
      <c r="B540" s="7" t="s">
        <v>966</v>
      </c>
      <c r="C540" s="4">
        <v>41944</v>
      </c>
      <c r="D540" s="2" t="s">
        <v>452</v>
      </c>
      <c r="E540" s="2" t="s">
        <v>967</v>
      </c>
      <c r="F540" s="2" t="s">
        <v>968</v>
      </c>
      <c r="G540" s="2">
        <v>300</v>
      </c>
      <c r="H540" s="21">
        <v>57520</v>
      </c>
      <c r="I540" s="21" t="s">
        <v>13</v>
      </c>
      <c r="J540" s="2" t="s">
        <v>46</v>
      </c>
      <c r="K540" s="2" t="s">
        <v>34</v>
      </c>
      <c r="L540" s="2" t="s">
        <v>35</v>
      </c>
      <c r="M540" s="2"/>
      <c r="N540" s="2" t="s">
        <v>454</v>
      </c>
      <c r="O540" s="2" t="s">
        <v>961</v>
      </c>
      <c r="P540" s="2" t="s">
        <v>966</v>
      </c>
      <c r="Q540" s="2" t="s">
        <v>942</v>
      </c>
      <c r="R540" s="1">
        <v>3</v>
      </c>
      <c r="S540" s="2"/>
      <c r="T540" s="1" t="s">
        <v>706</v>
      </c>
      <c r="U540" s="1"/>
      <c r="V540" s="2"/>
      <c r="W540" s="2"/>
      <c r="X540" s="2"/>
      <c r="Y540" s="2"/>
      <c r="Z540" s="1">
        <f ca="1">IF(Table1[[#This Row],[Inactive_Date]]="",DATEDIF(Table1[[#This Row],[Date_Acq]],TODAY(),"m"),DATEDIF(Table1[[#This Row],[Date_Acq]],Table1[[#This Row],[Inactive_Date]],"m"))</f>
        <v>24</v>
      </c>
    </row>
    <row r="541" spans="1:26" s="17" customFormat="1" hidden="1" x14ac:dyDescent="0.4">
      <c r="A541" s="6"/>
      <c r="B541" s="7" t="s">
        <v>969</v>
      </c>
      <c r="C541" s="4">
        <v>41667</v>
      </c>
      <c r="D541" s="2" t="s">
        <v>517</v>
      </c>
      <c r="E541" s="2" t="s">
        <v>453</v>
      </c>
      <c r="F541" s="2" t="s">
        <v>519</v>
      </c>
      <c r="G541" s="2">
        <v>300</v>
      </c>
      <c r="H541" s="21"/>
      <c r="I541" s="21" t="s">
        <v>108</v>
      </c>
      <c r="J541" s="2" t="s">
        <v>46</v>
      </c>
      <c r="K541" s="2" t="s">
        <v>34</v>
      </c>
      <c r="L541" s="2" t="s">
        <v>35</v>
      </c>
      <c r="M541" s="2"/>
      <c r="N541" s="2" t="s">
        <v>454</v>
      </c>
      <c r="O541" s="2" t="s">
        <v>961</v>
      </c>
      <c r="P541" s="2" t="s">
        <v>969</v>
      </c>
      <c r="Q541" s="2" t="s">
        <v>446</v>
      </c>
      <c r="R541" s="1">
        <v>3</v>
      </c>
      <c r="S541" s="2" t="s">
        <v>970</v>
      </c>
      <c r="T541" s="1" t="s">
        <v>410</v>
      </c>
      <c r="U541" s="1"/>
      <c r="V541" s="2"/>
      <c r="W541" s="2"/>
      <c r="X541" s="2"/>
      <c r="Y541" s="2"/>
      <c r="Z541" s="1">
        <f ca="1">IF(Table1[[#This Row],[Inactive_Date]]="",DATEDIF(Table1[[#This Row],[Date_Acq]],TODAY(),"m"),DATEDIF(Table1[[#This Row],[Date_Acq]],Table1[[#This Row],[Inactive_Date]],"m"))</f>
        <v>33</v>
      </c>
    </row>
    <row r="542" spans="1:26" s="17" customFormat="1" hidden="1" x14ac:dyDescent="0.4">
      <c r="A542" s="6"/>
      <c r="B542" s="7" t="s">
        <v>971</v>
      </c>
      <c r="C542" s="4">
        <v>41974</v>
      </c>
      <c r="D542" s="2"/>
      <c r="E542" s="2" t="s">
        <v>519</v>
      </c>
      <c r="F542" s="2" t="s">
        <v>519</v>
      </c>
      <c r="G542" s="2">
        <v>300</v>
      </c>
      <c r="H542" s="21">
        <v>57520</v>
      </c>
      <c r="I542" s="21" t="s">
        <v>13</v>
      </c>
      <c r="J542" s="2" t="s">
        <v>46</v>
      </c>
      <c r="K542" s="2" t="s">
        <v>34</v>
      </c>
      <c r="L542" s="2" t="s">
        <v>35</v>
      </c>
      <c r="M542" s="2"/>
      <c r="N542" s="2" t="s">
        <v>454</v>
      </c>
      <c r="O542" s="2" t="s">
        <v>961</v>
      </c>
      <c r="P542" s="2" t="s">
        <v>971</v>
      </c>
      <c r="Q542" s="2" t="s">
        <v>110</v>
      </c>
      <c r="R542" s="1">
        <v>3</v>
      </c>
      <c r="S542" s="2"/>
      <c r="T542" s="1" t="s">
        <v>410</v>
      </c>
      <c r="U542" s="1"/>
      <c r="V542" s="2"/>
      <c r="W542" s="2"/>
      <c r="X542" s="2"/>
      <c r="Y542" s="2"/>
      <c r="Z542" s="1">
        <f ca="1">IF(Table1[[#This Row],[Inactive_Date]]="",DATEDIF(Table1[[#This Row],[Date_Acq]],TODAY(),"m"),DATEDIF(Table1[[#This Row],[Date_Acq]],Table1[[#This Row],[Inactive_Date]],"m"))</f>
        <v>23</v>
      </c>
    </row>
    <row r="543" spans="1:26" s="17" customFormat="1" hidden="1" x14ac:dyDescent="0.4">
      <c r="A543" s="6"/>
      <c r="B543" s="7" t="s">
        <v>972</v>
      </c>
      <c r="C543" s="4">
        <v>41579</v>
      </c>
      <c r="D543" s="2"/>
      <c r="E543" s="2" t="s">
        <v>519</v>
      </c>
      <c r="F543" s="2"/>
      <c r="G543" s="2">
        <v>300</v>
      </c>
      <c r="H543" s="21">
        <v>57520</v>
      </c>
      <c r="I543" s="21" t="s">
        <v>796</v>
      </c>
      <c r="J543" s="2" t="s">
        <v>46</v>
      </c>
      <c r="K543" s="2" t="s">
        <v>34</v>
      </c>
      <c r="L543" s="2" t="s">
        <v>35</v>
      </c>
      <c r="M543" s="2"/>
      <c r="N543" s="2" t="s">
        <v>454</v>
      </c>
      <c r="O543" s="2" t="s">
        <v>455</v>
      </c>
      <c r="P543" s="2" t="s">
        <v>972</v>
      </c>
      <c r="Q543" s="2" t="s">
        <v>942</v>
      </c>
      <c r="R543" s="1">
        <v>3</v>
      </c>
      <c r="S543" s="2" t="s">
        <v>973</v>
      </c>
      <c r="T543" s="1" t="s">
        <v>410</v>
      </c>
      <c r="U543" s="1"/>
      <c r="V543" s="2"/>
      <c r="W543" s="2"/>
      <c r="X543" s="2"/>
      <c r="Y543" s="2"/>
      <c r="Z543" s="1">
        <f ca="1">IF(Table1[[#This Row],[Inactive_Date]]="",DATEDIF(Table1[[#This Row],[Date_Acq]],TODAY(),"m"),DATEDIF(Table1[[#This Row],[Date_Acq]],Table1[[#This Row],[Inactive_Date]],"m"))</f>
        <v>36</v>
      </c>
    </row>
    <row r="544" spans="1:26" s="17" customFormat="1" hidden="1" x14ac:dyDescent="0.4">
      <c r="A544" s="6"/>
      <c r="B544" s="7" t="s">
        <v>974</v>
      </c>
      <c r="C544" s="2"/>
      <c r="D544" s="2"/>
      <c r="E544" s="2" t="s">
        <v>518</v>
      </c>
      <c r="F544" s="2" t="s">
        <v>453</v>
      </c>
      <c r="G544" s="2">
        <v>250</v>
      </c>
      <c r="H544" s="21"/>
      <c r="I544" s="21" t="s">
        <v>796</v>
      </c>
      <c r="J544" s="2" t="s">
        <v>46</v>
      </c>
      <c r="K544" s="2" t="s">
        <v>34</v>
      </c>
      <c r="L544" s="2" t="s">
        <v>35</v>
      </c>
      <c r="M544" s="2"/>
      <c r="N544" s="2" t="s">
        <v>454</v>
      </c>
      <c r="O544" s="2" t="s">
        <v>520</v>
      </c>
      <c r="P544" s="2" t="s">
        <v>974</v>
      </c>
      <c r="Q544" s="2" t="s">
        <v>474</v>
      </c>
      <c r="R544" s="1">
        <v>1</v>
      </c>
      <c r="S544" s="2"/>
      <c r="T544" s="1" t="s">
        <v>410</v>
      </c>
      <c r="U544" s="1"/>
      <c r="V544" s="2"/>
      <c r="W544" s="2"/>
      <c r="X544" s="2"/>
      <c r="Y544" s="2"/>
      <c r="Z544" s="1">
        <f ca="1">IF(Table1[[#This Row],[Inactive_Date]]="",DATEDIF(Table1[[#This Row],[Date_Acq]],TODAY(),"m"),DATEDIF(Table1[[#This Row],[Date_Acq]],Table1[[#This Row],[Inactive_Date]],"m"))</f>
        <v>1402</v>
      </c>
    </row>
    <row r="545" spans="1:26" s="17" customFormat="1" x14ac:dyDescent="0.4">
      <c r="A545" s="6"/>
      <c r="B545" s="7" t="s">
        <v>521</v>
      </c>
      <c r="C545" s="2"/>
      <c r="D545" s="2" t="s">
        <v>975</v>
      </c>
      <c r="E545" s="2" t="s">
        <v>976</v>
      </c>
      <c r="F545" s="2" t="s">
        <v>977</v>
      </c>
      <c r="G545" s="2"/>
      <c r="H545" s="21"/>
      <c r="I545" s="21" t="s">
        <v>108</v>
      </c>
      <c r="J545" s="2" t="s">
        <v>46</v>
      </c>
      <c r="K545" s="2" t="s">
        <v>39</v>
      </c>
      <c r="L545" s="2" t="s">
        <v>35</v>
      </c>
      <c r="M545" s="2"/>
      <c r="N545" s="2" t="s">
        <v>975</v>
      </c>
      <c r="O545" s="2" t="s">
        <v>978</v>
      </c>
      <c r="P545" s="2" t="s">
        <v>521</v>
      </c>
      <c r="Q545" s="2" t="s">
        <v>942</v>
      </c>
      <c r="R545" s="1">
        <v>5</v>
      </c>
      <c r="S545" s="2" t="s">
        <v>979</v>
      </c>
      <c r="T545" s="1" t="s">
        <v>410</v>
      </c>
      <c r="U545" s="1"/>
      <c r="V545" s="2"/>
      <c r="W545" s="2"/>
      <c r="X545" s="2"/>
      <c r="Y545" s="2"/>
      <c r="Z545" s="1">
        <f ca="1">IF(Table1[[#This Row],[Inactive_Date]]="",DATEDIF(Table1[[#This Row],[Date_Acq]],TODAY(),"m"),DATEDIF(Table1[[#This Row],[Date_Acq]],Table1[[#This Row],[Inactive_Date]],"m"))</f>
        <v>1402</v>
      </c>
    </row>
    <row r="546" spans="1:26" s="17" customFormat="1" hidden="1" x14ac:dyDescent="0.4">
      <c r="A546" s="6"/>
      <c r="B546" s="7" t="s">
        <v>980</v>
      </c>
      <c r="C546" s="4">
        <v>41579</v>
      </c>
      <c r="D546" s="2" t="s">
        <v>981</v>
      </c>
      <c r="E546" s="2" t="s">
        <v>519</v>
      </c>
      <c r="F546" s="2"/>
      <c r="G546" s="2">
        <v>300</v>
      </c>
      <c r="H546" s="21"/>
      <c r="I546" s="21" t="s">
        <v>108</v>
      </c>
      <c r="J546" s="2" t="s">
        <v>46</v>
      </c>
      <c r="K546" s="2" t="s">
        <v>34</v>
      </c>
      <c r="L546" s="2" t="s">
        <v>35</v>
      </c>
      <c r="M546" s="2"/>
      <c r="N546" s="2" t="s">
        <v>454</v>
      </c>
      <c r="O546" s="2" t="s">
        <v>455</v>
      </c>
      <c r="P546" s="2" t="s">
        <v>980</v>
      </c>
      <c r="Q546" s="2" t="s">
        <v>446</v>
      </c>
      <c r="R546" s="1">
        <v>3</v>
      </c>
      <c r="S546" s="2" t="s">
        <v>982</v>
      </c>
      <c r="T546" s="1" t="s">
        <v>410</v>
      </c>
      <c r="U546" s="1"/>
      <c r="V546" s="2"/>
      <c r="W546" s="2"/>
      <c r="X546" s="2"/>
      <c r="Y546" s="2"/>
      <c r="Z546" s="1">
        <f ca="1">IF(Table1[[#This Row],[Inactive_Date]]="",DATEDIF(Table1[[#This Row],[Date_Acq]],TODAY(),"m"),DATEDIF(Table1[[#This Row],[Date_Acq]],Table1[[#This Row],[Inactive_Date]],"m"))</f>
        <v>36</v>
      </c>
    </row>
    <row r="547" spans="1:26" s="17" customFormat="1" hidden="1" x14ac:dyDescent="0.4">
      <c r="A547" s="6"/>
      <c r="B547" s="7" t="s">
        <v>983</v>
      </c>
      <c r="C547" s="4">
        <v>41579</v>
      </c>
      <c r="D547" s="2" t="s">
        <v>821</v>
      </c>
      <c r="E547" s="2" t="s">
        <v>519</v>
      </c>
      <c r="F547" s="2"/>
      <c r="G547" s="2">
        <v>300</v>
      </c>
      <c r="H547" s="21">
        <v>57520</v>
      </c>
      <c r="I547" s="21" t="s">
        <v>108</v>
      </c>
      <c r="J547" s="2" t="s">
        <v>46</v>
      </c>
      <c r="K547" s="2" t="s">
        <v>34</v>
      </c>
      <c r="L547" s="2" t="s">
        <v>35</v>
      </c>
      <c r="M547" s="2"/>
      <c r="N547" s="2" t="s">
        <v>454</v>
      </c>
      <c r="O547" s="2" t="s">
        <v>455</v>
      </c>
      <c r="P547" s="2" t="s">
        <v>983</v>
      </c>
      <c r="Q547" s="2" t="s">
        <v>942</v>
      </c>
      <c r="R547" s="1">
        <v>3</v>
      </c>
      <c r="S547" s="2" t="s">
        <v>984</v>
      </c>
      <c r="T547" s="1" t="s">
        <v>706</v>
      </c>
      <c r="U547" s="1"/>
      <c r="V547" s="2"/>
      <c r="W547" s="2"/>
      <c r="X547" s="2"/>
      <c r="Y547" s="2"/>
      <c r="Z547" s="1">
        <f ca="1">IF(Table1[[#This Row],[Inactive_Date]]="",DATEDIF(Table1[[#This Row],[Date_Acq]],TODAY(),"m"),DATEDIF(Table1[[#This Row],[Date_Acq]],Table1[[#This Row],[Inactive_Date]],"m"))</f>
        <v>36</v>
      </c>
    </row>
    <row r="548" spans="1:26" s="17" customFormat="1" hidden="1" x14ac:dyDescent="0.4">
      <c r="A548" s="6"/>
      <c r="B548" s="7" t="s">
        <v>985</v>
      </c>
      <c r="C548" s="4">
        <v>41698</v>
      </c>
      <c r="D548" s="2" t="s">
        <v>517</v>
      </c>
      <c r="E548" s="2" t="s">
        <v>453</v>
      </c>
      <c r="F548" s="2" t="s">
        <v>519</v>
      </c>
      <c r="G548" s="2">
        <v>300</v>
      </c>
      <c r="H548" s="21">
        <v>57520</v>
      </c>
      <c r="I548" s="21" t="s">
        <v>796</v>
      </c>
      <c r="J548" s="2" t="s">
        <v>46</v>
      </c>
      <c r="K548" s="2" t="s">
        <v>34</v>
      </c>
      <c r="L548" s="2" t="s">
        <v>35</v>
      </c>
      <c r="M548" s="2"/>
      <c r="N548" s="2" t="s">
        <v>454</v>
      </c>
      <c r="O548" s="2" t="s">
        <v>961</v>
      </c>
      <c r="P548" s="2" t="s">
        <v>985</v>
      </c>
      <c r="Q548" s="2" t="s">
        <v>446</v>
      </c>
      <c r="R548" s="1">
        <v>3</v>
      </c>
      <c r="S548" s="2" t="s">
        <v>962</v>
      </c>
      <c r="T548" s="1" t="s">
        <v>410</v>
      </c>
      <c r="U548" s="1"/>
      <c r="V548" s="2"/>
      <c r="W548" s="2"/>
      <c r="X548" s="2"/>
      <c r="Y548" s="2"/>
      <c r="Z548" s="1">
        <f ca="1">IF(Table1[[#This Row],[Inactive_Date]]="",DATEDIF(Table1[[#This Row],[Date_Acq]],TODAY(),"m"),DATEDIF(Table1[[#This Row],[Date_Acq]],Table1[[#This Row],[Inactive_Date]],"m"))</f>
        <v>32</v>
      </c>
    </row>
    <row r="549" spans="1:26" s="17" customFormat="1" hidden="1" x14ac:dyDescent="0.4">
      <c r="A549" s="6"/>
      <c r="B549" s="7" t="s">
        <v>986</v>
      </c>
      <c r="C549" s="4">
        <v>41579</v>
      </c>
      <c r="D549" s="2" t="s">
        <v>987</v>
      </c>
      <c r="E549" s="2" t="s">
        <v>519</v>
      </c>
      <c r="F549" s="2" t="s">
        <v>519</v>
      </c>
      <c r="G549" s="2">
        <v>300</v>
      </c>
      <c r="H549" s="21">
        <v>57520</v>
      </c>
      <c r="I549" s="21" t="s">
        <v>108</v>
      </c>
      <c r="J549" s="2" t="s">
        <v>46</v>
      </c>
      <c r="K549" s="2" t="s">
        <v>34</v>
      </c>
      <c r="L549" s="2" t="s">
        <v>35</v>
      </c>
      <c r="M549" s="2"/>
      <c r="N549" s="2" t="s">
        <v>454</v>
      </c>
      <c r="O549" s="2" t="s">
        <v>455</v>
      </c>
      <c r="P549" s="2" t="s">
        <v>986</v>
      </c>
      <c r="Q549" s="2" t="s">
        <v>110</v>
      </c>
      <c r="R549" s="1">
        <v>3</v>
      </c>
      <c r="S549" s="2"/>
      <c r="T549" s="1" t="s">
        <v>706</v>
      </c>
      <c r="U549" s="1"/>
      <c r="V549" s="2"/>
      <c r="W549" s="2"/>
      <c r="X549" s="2"/>
      <c r="Y549" s="2"/>
      <c r="Z549" s="1">
        <f ca="1">IF(Table1[[#This Row],[Inactive_Date]]="",DATEDIF(Table1[[#This Row],[Date_Acq]],TODAY(),"m"),DATEDIF(Table1[[#This Row],[Date_Acq]],Table1[[#This Row],[Inactive_Date]],"m"))</f>
        <v>36</v>
      </c>
    </row>
    <row r="550" spans="1:26" s="17" customFormat="1" hidden="1" x14ac:dyDescent="0.4">
      <c r="A550" s="6"/>
      <c r="B550" s="7" t="s">
        <v>988</v>
      </c>
      <c r="C550" s="4">
        <v>41609</v>
      </c>
      <c r="D550" s="2" t="s">
        <v>989</v>
      </c>
      <c r="E550" s="2" t="s">
        <v>519</v>
      </c>
      <c r="F550" s="2" t="s">
        <v>519</v>
      </c>
      <c r="G550" s="2">
        <v>300</v>
      </c>
      <c r="H550" s="21">
        <v>57520</v>
      </c>
      <c r="I550" s="21" t="s">
        <v>108</v>
      </c>
      <c r="J550" s="2" t="s">
        <v>46</v>
      </c>
      <c r="K550" s="2" t="s">
        <v>34</v>
      </c>
      <c r="L550" s="2" t="s">
        <v>35</v>
      </c>
      <c r="M550" s="2"/>
      <c r="N550" s="2" t="s">
        <v>454</v>
      </c>
      <c r="O550" s="2" t="s">
        <v>961</v>
      </c>
      <c r="P550" s="2" t="s">
        <v>988</v>
      </c>
      <c r="Q550" s="2" t="s">
        <v>942</v>
      </c>
      <c r="R550" s="1">
        <v>3</v>
      </c>
      <c r="S550" s="2"/>
      <c r="T550" s="1" t="s">
        <v>410</v>
      </c>
      <c r="U550" s="1"/>
      <c r="V550" s="2"/>
      <c r="W550" s="2"/>
      <c r="X550" s="2"/>
      <c r="Y550" s="2"/>
      <c r="Z550" s="1">
        <f ca="1">IF(Table1[[#This Row],[Inactive_Date]]="",DATEDIF(Table1[[#This Row],[Date_Acq]],TODAY(),"m"),DATEDIF(Table1[[#This Row],[Date_Acq]],Table1[[#This Row],[Inactive_Date]],"m"))</f>
        <v>35</v>
      </c>
    </row>
    <row r="551" spans="1:26" s="17" customFormat="1" hidden="1" x14ac:dyDescent="0.4">
      <c r="A551" s="6"/>
      <c r="B551" s="7" t="s">
        <v>990</v>
      </c>
      <c r="C551" s="4">
        <v>41698</v>
      </c>
      <c r="D551" s="2" t="s">
        <v>517</v>
      </c>
      <c r="E551" s="2" t="s">
        <v>453</v>
      </c>
      <c r="F551" s="2" t="s">
        <v>519</v>
      </c>
      <c r="G551" s="2">
        <v>300</v>
      </c>
      <c r="H551" s="21">
        <v>57520</v>
      </c>
      <c r="I551" s="21" t="s">
        <v>108</v>
      </c>
      <c r="J551" s="2" t="s">
        <v>46</v>
      </c>
      <c r="K551" s="2" t="s">
        <v>34</v>
      </c>
      <c r="L551" s="2" t="s">
        <v>35</v>
      </c>
      <c r="M551" s="2"/>
      <c r="N551" s="2" t="s">
        <v>454</v>
      </c>
      <c r="O551" s="2" t="s">
        <v>961</v>
      </c>
      <c r="P551" s="2" t="s">
        <v>990</v>
      </c>
      <c r="Q551" s="2" t="s">
        <v>446</v>
      </c>
      <c r="R551" s="1">
        <v>3</v>
      </c>
      <c r="S551" s="2" t="s">
        <v>991</v>
      </c>
      <c r="T551" s="1" t="s">
        <v>706</v>
      </c>
      <c r="U551" s="1"/>
      <c r="V551" s="2"/>
      <c r="W551" s="2"/>
      <c r="X551" s="2"/>
      <c r="Y551" s="2"/>
      <c r="Z551" s="1">
        <f ca="1">IF(Table1[[#This Row],[Inactive_Date]]="",DATEDIF(Table1[[#This Row],[Date_Acq]],TODAY(),"m"),DATEDIF(Table1[[#This Row],[Date_Acq]],Table1[[#This Row],[Inactive_Date]],"m"))</f>
        <v>32</v>
      </c>
    </row>
    <row r="552" spans="1:26" s="17" customFormat="1" hidden="1" x14ac:dyDescent="0.4">
      <c r="A552" s="6"/>
      <c r="B552" s="7" t="s">
        <v>992</v>
      </c>
      <c r="C552" s="4">
        <v>41634</v>
      </c>
      <c r="D552" s="2" t="s">
        <v>306</v>
      </c>
      <c r="E552" s="2" t="s">
        <v>993</v>
      </c>
      <c r="F552" s="2"/>
      <c r="G552" s="2">
        <v>1655</v>
      </c>
      <c r="H552" s="21"/>
      <c r="I552" s="21" t="s">
        <v>167</v>
      </c>
      <c r="J552" s="2" t="s">
        <v>46</v>
      </c>
      <c r="K552" s="2" t="s">
        <v>34</v>
      </c>
      <c r="L552" s="2" t="s">
        <v>35</v>
      </c>
      <c r="M552" s="2"/>
      <c r="N552" s="2" t="s">
        <v>306</v>
      </c>
      <c r="O552" s="2" t="s">
        <v>994</v>
      </c>
      <c r="P552" s="2" t="s">
        <v>992</v>
      </c>
      <c r="Q552" s="2" t="s">
        <v>450</v>
      </c>
      <c r="R552" s="1">
        <v>3</v>
      </c>
      <c r="S552" s="2" t="s">
        <v>995</v>
      </c>
      <c r="T552" s="1"/>
      <c r="U552" s="3">
        <v>42737</v>
      </c>
      <c r="V552" s="2"/>
      <c r="W552" s="2"/>
      <c r="X552" s="2"/>
      <c r="Y552" s="2"/>
      <c r="Z552" s="1">
        <f ca="1">IF(Table1[[#This Row],[Inactive_Date]]="",DATEDIF(Table1[[#This Row],[Date_Acq]],TODAY(),"m"),DATEDIF(Table1[[#This Row],[Date_Acq]],Table1[[#This Row],[Inactive_Date]],"m"))</f>
        <v>34</v>
      </c>
    </row>
    <row r="553" spans="1:26" s="17" customFormat="1" hidden="1" x14ac:dyDescent="0.4">
      <c r="A553" s="6"/>
      <c r="B553" s="7" t="s">
        <v>996</v>
      </c>
      <c r="C553" s="4">
        <v>41640</v>
      </c>
      <c r="D553" s="2" t="s">
        <v>997</v>
      </c>
      <c r="E553" s="2" t="s">
        <v>998</v>
      </c>
      <c r="F553" s="2" t="s">
        <v>999</v>
      </c>
      <c r="G553" s="2">
        <v>500</v>
      </c>
      <c r="H553" s="21">
        <v>57520</v>
      </c>
      <c r="I553" s="21" t="s">
        <v>13</v>
      </c>
      <c r="J553" s="2" t="s">
        <v>46</v>
      </c>
      <c r="K553" s="2" t="s">
        <v>34</v>
      </c>
      <c r="L553" s="2" t="s">
        <v>35</v>
      </c>
      <c r="M553" s="2"/>
      <c r="N553" s="2" t="s">
        <v>306</v>
      </c>
      <c r="O553" s="2" t="s">
        <v>1000</v>
      </c>
      <c r="P553" s="2" t="s">
        <v>996</v>
      </c>
      <c r="Q553" s="2"/>
      <c r="R553" s="1">
        <v>3</v>
      </c>
      <c r="S553" s="2"/>
      <c r="T553" s="1" t="s">
        <v>410</v>
      </c>
      <c r="U553" s="1"/>
      <c r="V553" s="2"/>
      <c r="W553" s="2"/>
      <c r="X553" s="2"/>
      <c r="Y553" s="2"/>
      <c r="Z553" s="1">
        <f ca="1">IF(Table1[[#This Row],[Inactive_Date]]="",DATEDIF(Table1[[#This Row],[Date_Acq]],TODAY(),"m"),DATEDIF(Table1[[#This Row],[Date_Acq]],Table1[[#This Row],[Inactive_Date]],"m"))</f>
        <v>34</v>
      </c>
    </row>
    <row r="554" spans="1:26" s="17" customFormat="1" x14ac:dyDescent="0.4">
      <c r="A554" s="6"/>
      <c r="B554" s="7" t="s">
        <v>1001</v>
      </c>
      <c r="C554" s="4">
        <v>41487</v>
      </c>
      <c r="D554" s="2" t="s">
        <v>1002</v>
      </c>
      <c r="E554" s="2" t="s">
        <v>1003</v>
      </c>
      <c r="F554" s="2" t="s">
        <v>1004</v>
      </c>
      <c r="G554" s="2"/>
      <c r="H554" s="21"/>
      <c r="I554" s="21" t="s">
        <v>798</v>
      </c>
      <c r="J554" s="2" t="s">
        <v>46</v>
      </c>
      <c r="K554" s="2"/>
      <c r="L554" s="2" t="s">
        <v>35</v>
      </c>
      <c r="M554" s="2"/>
      <c r="N554" s="2" t="s">
        <v>1005</v>
      </c>
      <c r="O554" s="2" t="s">
        <v>1006</v>
      </c>
      <c r="P554" s="2" t="s">
        <v>1007</v>
      </c>
      <c r="Q554" s="2" t="s">
        <v>1008</v>
      </c>
      <c r="R554" s="1">
        <v>1</v>
      </c>
      <c r="S554" s="2"/>
      <c r="T554" s="1" t="s">
        <v>410</v>
      </c>
      <c r="U554" s="1"/>
      <c r="V554" s="2"/>
      <c r="W554" s="2"/>
      <c r="X554" s="2"/>
      <c r="Y554" s="2"/>
      <c r="Z554" s="1">
        <f ca="1">IF(Table1[[#This Row],[Inactive_Date]]="",DATEDIF(Table1[[#This Row],[Date_Acq]],TODAY(),"m"),DATEDIF(Table1[[#This Row],[Date_Acq]],Table1[[#This Row],[Inactive_Date]],"m"))</f>
        <v>39</v>
      </c>
    </row>
    <row r="555" spans="1:26" s="17" customFormat="1" x14ac:dyDescent="0.4">
      <c r="A555" s="6"/>
      <c r="B555" s="7" t="s">
        <v>1009</v>
      </c>
      <c r="C555" s="4">
        <v>41487</v>
      </c>
      <c r="D555" s="2" t="s">
        <v>1010</v>
      </c>
      <c r="E555" s="2" t="s">
        <v>1011</v>
      </c>
      <c r="F555" s="2" t="s">
        <v>1012</v>
      </c>
      <c r="G555" s="2"/>
      <c r="H555" s="21"/>
      <c r="I555" s="21" t="s">
        <v>798</v>
      </c>
      <c r="J555" s="2" t="s">
        <v>46</v>
      </c>
      <c r="K555" s="2"/>
      <c r="L555" s="2" t="s">
        <v>35</v>
      </c>
      <c r="M555" s="2"/>
      <c r="N555" s="2" t="s">
        <v>1013</v>
      </c>
      <c r="O555" s="2" t="s">
        <v>1014</v>
      </c>
      <c r="P555" s="2" t="s">
        <v>1015</v>
      </c>
      <c r="Q555" s="2" t="s">
        <v>1016</v>
      </c>
      <c r="R555" s="1">
        <v>1</v>
      </c>
      <c r="S555" s="2"/>
      <c r="T555" s="1" t="s">
        <v>410</v>
      </c>
      <c r="U555" s="1"/>
      <c r="V555" s="2"/>
      <c r="W555" s="2"/>
      <c r="X555" s="2"/>
      <c r="Y555" s="2"/>
      <c r="Z555" s="1">
        <f ca="1">IF(Table1[[#This Row],[Inactive_Date]]="",DATEDIF(Table1[[#This Row],[Date_Acq]],TODAY(),"m"),DATEDIF(Table1[[#This Row],[Date_Acq]],Table1[[#This Row],[Inactive_Date]],"m"))</f>
        <v>39</v>
      </c>
    </row>
    <row r="556" spans="1:26" s="17" customFormat="1" x14ac:dyDescent="0.4">
      <c r="A556" s="6"/>
      <c r="B556" s="7" t="s">
        <v>1017</v>
      </c>
      <c r="C556" s="4">
        <v>41487</v>
      </c>
      <c r="D556" s="2" t="s">
        <v>1018</v>
      </c>
      <c r="E556" s="2" t="s">
        <v>1019</v>
      </c>
      <c r="F556" s="2" t="s">
        <v>1020</v>
      </c>
      <c r="G556" s="2"/>
      <c r="H556" s="21"/>
      <c r="I556" s="21" t="s">
        <v>798</v>
      </c>
      <c r="J556" s="2" t="s">
        <v>46</v>
      </c>
      <c r="K556" s="2"/>
      <c r="L556" s="2" t="s">
        <v>35</v>
      </c>
      <c r="M556" s="2"/>
      <c r="N556" s="2" t="s">
        <v>1005</v>
      </c>
      <c r="O556" s="2" t="s">
        <v>1021</v>
      </c>
      <c r="P556" s="2" t="s">
        <v>1022</v>
      </c>
      <c r="Q556" s="2" t="s">
        <v>446</v>
      </c>
      <c r="R556" s="1">
        <v>1</v>
      </c>
      <c r="S556" s="2"/>
      <c r="T556" s="1" t="s">
        <v>410</v>
      </c>
      <c r="U556" s="1"/>
      <c r="V556" s="2"/>
      <c r="W556" s="2"/>
      <c r="X556" s="2"/>
      <c r="Y556" s="2"/>
      <c r="Z556" s="1">
        <f ca="1">IF(Table1[[#This Row],[Inactive_Date]]="",DATEDIF(Table1[[#This Row],[Date_Acq]],TODAY(),"m"),DATEDIF(Table1[[#This Row],[Date_Acq]],Table1[[#This Row],[Inactive_Date]],"m"))</f>
        <v>39</v>
      </c>
    </row>
    <row r="557" spans="1:26" s="17" customFormat="1" x14ac:dyDescent="0.4">
      <c r="A557" s="6"/>
      <c r="B557" s="7" t="s">
        <v>1023</v>
      </c>
      <c r="C557" s="4">
        <v>41883</v>
      </c>
      <c r="D557" s="2" t="s">
        <v>1018</v>
      </c>
      <c r="E557" s="2" t="s">
        <v>1024</v>
      </c>
      <c r="F557" s="2" t="s">
        <v>1025</v>
      </c>
      <c r="G557" s="2"/>
      <c r="H557" s="21"/>
      <c r="I557" s="21" t="s">
        <v>798</v>
      </c>
      <c r="J557" s="2" t="s">
        <v>46</v>
      </c>
      <c r="K557" s="2"/>
      <c r="L557" s="2" t="s">
        <v>35</v>
      </c>
      <c r="M557" s="2"/>
      <c r="N557" s="2" t="s">
        <v>1026</v>
      </c>
      <c r="O557" s="2" t="s">
        <v>1027</v>
      </c>
      <c r="P557" s="2" t="s">
        <v>1028</v>
      </c>
      <c r="Q557" s="2" t="s">
        <v>446</v>
      </c>
      <c r="R557" s="1">
        <v>1</v>
      </c>
      <c r="S557" s="2"/>
      <c r="T557" s="1" t="s">
        <v>410</v>
      </c>
      <c r="U557" s="1"/>
      <c r="V557" s="2"/>
      <c r="W557" s="2"/>
      <c r="X557" s="2"/>
      <c r="Y557" s="2"/>
      <c r="Z557" s="1">
        <f ca="1">IF(Table1[[#This Row],[Inactive_Date]]="",DATEDIF(Table1[[#This Row],[Date_Acq]],TODAY(),"m"),DATEDIF(Table1[[#This Row],[Date_Acq]],Table1[[#This Row],[Inactive_Date]],"m"))</f>
        <v>26</v>
      </c>
    </row>
    <row r="558" spans="1:26" s="17" customFormat="1" x14ac:dyDescent="0.4">
      <c r="A558" s="6"/>
      <c r="B558" s="7" t="s">
        <v>1029</v>
      </c>
      <c r="C558" s="4">
        <v>41883</v>
      </c>
      <c r="D558" s="2" t="s">
        <v>1018</v>
      </c>
      <c r="E558" s="2" t="s">
        <v>1030</v>
      </c>
      <c r="F558" s="2" t="s">
        <v>1031</v>
      </c>
      <c r="G558" s="2"/>
      <c r="H558" s="21"/>
      <c r="I558" s="21" t="s">
        <v>798</v>
      </c>
      <c r="J558" s="2" t="s">
        <v>46</v>
      </c>
      <c r="K558" s="2"/>
      <c r="L558" s="2" t="s">
        <v>35</v>
      </c>
      <c r="M558" s="2"/>
      <c r="N558" s="2" t="s">
        <v>1005</v>
      </c>
      <c r="O558" s="2" t="s">
        <v>1032</v>
      </c>
      <c r="P558" s="2" t="s">
        <v>1033</v>
      </c>
      <c r="Q558" s="2" t="s">
        <v>446</v>
      </c>
      <c r="R558" s="1">
        <v>1</v>
      </c>
      <c r="S558" s="2"/>
      <c r="T558" s="1" t="s">
        <v>410</v>
      </c>
      <c r="U558" s="1"/>
      <c r="V558" s="2"/>
      <c r="W558" s="2"/>
      <c r="X558" s="2"/>
      <c r="Y558" s="2"/>
      <c r="Z558" s="1">
        <f ca="1">IF(Table1[[#This Row],[Inactive_Date]]="",DATEDIF(Table1[[#This Row],[Date_Acq]],TODAY(),"m"),DATEDIF(Table1[[#This Row],[Date_Acq]],Table1[[#This Row],[Inactive_Date]],"m"))</f>
        <v>26</v>
      </c>
    </row>
    <row r="559" spans="1:26" s="17" customFormat="1" hidden="1" x14ac:dyDescent="0.4">
      <c r="A559" s="6"/>
      <c r="B559" s="7" t="s">
        <v>1034</v>
      </c>
      <c r="C559" s="4">
        <v>41640</v>
      </c>
      <c r="D559" s="2"/>
      <c r="E559" s="2" t="s">
        <v>998</v>
      </c>
      <c r="F559" s="2" t="s">
        <v>1035</v>
      </c>
      <c r="G559" s="2">
        <v>375</v>
      </c>
      <c r="H559" s="21">
        <v>57520</v>
      </c>
      <c r="I559" s="21" t="s">
        <v>13</v>
      </c>
      <c r="J559" s="2" t="s">
        <v>46</v>
      </c>
      <c r="K559" s="2" t="s">
        <v>34</v>
      </c>
      <c r="L559" s="2" t="s">
        <v>35</v>
      </c>
      <c r="M559" s="2"/>
      <c r="N559" s="2" t="s">
        <v>306</v>
      </c>
      <c r="O559" s="2" t="s">
        <v>1036</v>
      </c>
      <c r="P559" s="2" t="s">
        <v>1034</v>
      </c>
      <c r="Q559" s="2" t="s">
        <v>110</v>
      </c>
      <c r="R559" s="1">
        <v>1</v>
      </c>
      <c r="S559" s="2"/>
      <c r="T559" s="1" t="s">
        <v>410</v>
      </c>
      <c r="U559" s="1"/>
      <c r="V559" s="2"/>
      <c r="W559" s="2"/>
      <c r="X559" s="2"/>
      <c r="Y559" s="2"/>
      <c r="Z559" s="1">
        <f ca="1">IF(Table1[[#This Row],[Inactive_Date]]="",DATEDIF(Table1[[#This Row],[Date_Acq]],TODAY(),"m"),DATEDIF(Table1[[#This Row],[Date_Acq]],Table1[[#This Row],[Inactive_Date]],"m"))</f>
        <v>34</v>
      </c>
    </row>
    <row r="560" spans="1:26" s="17" customFormat="1" hidden="1" x14ac:dyDescent="0.4">
      <c r="A560" s="6"/>
      <c r="B560" s="7" t="s">
        <v>1037</v>
      </c>
      <c r="C560" s="4">
        <v>41823</v>
      </c>
      <c r="D560" s="2" t="s">
        <v>405</v>
      </c>
      <c r="E560" s="2" t="s">
        <v>1038</v>
      </c>
      <c r="F560" s="2" t="s">
        <v>1039</v>
      </c>
      <c r="G560" s="2">
        <v>469</v>
      </c>
      <c r="H560" s="21">
        <v>57520</v>
      </c>
      <c r="I560" s="21" t="s">
        <v>13</v>
      </c>
      <c r="J560" s="2" t="s">
        <v>46</v>
      </c>
      <c r="K560" s="2" t="s">
        <v>34</v>
      </c>
      <c r="L560" s="2" t="s">
        <v>35</v>
      </c>
      <c r="M560" s="2"/>
      <c r="N560" s="2" t="s">
        <v>306</v>
      </c>
      <c r="O560" s="2" t="s">
        <v>998</v>
      </c>
      <c r="P560" s="2" t="s">
        <v>1037</v>
      </c>
      <c r="Q560" s="2" t="s">
        <v>110</v>
      </c>
      <c r="R560" s="1">
        <v>1</v>
      </c>
      <c r="S560" s="2"/>
      <c r="T560" s="1" t="s">
        <v>410</v>
      </c>
      <c r="U560" s="1"/>
      <c r="V560" s="2"/>
      <c r="W560" s="2"/>
      <c r="X560" s="2"/>
      <c r="Y560" s="2"/>
      <c r="Z560" s="1">
        <f ca="1">IF(Table1[[#This Row],[Inactive_Date]]="",DATEDIF(Table1[[#This Row],[Date_Acq]],TODAY(),"m"),DATEDIF(Table1[[#This Row],[Date_Acq]],Table1[[#This Row],[Inactive_Date]],"m"))</f>
        <v>28</v>
      </c>
    </row>
    <row r="561" spans="1:26" s="17" customFormat="1" hidden="1" x14ac:dyDescent="0.4">
      <c r="A561" s="6"/>
      <c r="B561" s="7" t="s">
        <v>1040</v>
      </c>
      <c r="C561" s="4">
        <v>40179</v>
      </c>
      <c r="D561" s="2"/>
      <c r="E561" s="2" t="s">
        <v>811</v>
      </c>
      <c r="F561" s="2" t="s">
        <v>1041</v>
      </c>
      <c r="G561" s="2">
        <v>600</v>
      </c>
      <c r="H561" s="21">
        <v>57520</v>
      </c>
      <c r="I561" s="21" t="s">
        <v>13</v>
      </c>
      <c r="J561" s="2" t="s">
        <v>46</v>
      </c>
      <c r="K561" s="2" t="s">
        <v>34</v>
      </c>
      <c r="L561" s="2" t="s">
        <v>35</v>
      </c>
      <c r="M561" s="2"/>
      <c r="N561" s="2" t="s">
        <v>102</v>
      </c>
      <c r="O561" s="2" t="s">
        <v>829</v>
      </c>
      <c r="P561" s="2" t="s">
        <v>1042</v>
      </c>
      <c r="Q561" s="2" t="s">
        <v>110</v>
      </c>
      <c r="R561" s="1">
        <v>3</v>
      </c>
      <c r="S561" s="2"/>
      <c r="T561" s="1" t="s">
        <v>706</v>
      </c>
      <c r="U561" s="1"/>
      <c r="V561" s="2"/>
      <c r="W561" s="2"/>
      <c r="X561" s="2"/>
      <c r="Y561" s="2"/>
      <c r="Z561" s="1">
        <f ca="1">IF(Table1[[#This Row],[Inactive_Date]]="",DATEDIF(Table1[[#This Row],[Date_Acq]],TODAY(),"m"),DATEDIF(Table1[[#This Row],[Date_Acq]],Table1[[#This Row],[Inactive_Date]],"m"))</f>
        <v>82</v>
      </c>
    </row>
    <row r="562" spans="1:26" s="17" customFormat="1" x14ac:dyDescent="0.4">
      <c r="A562" s="6"/>
      <c r="B562" s="7" t="s">
        <v>1043</v>
      </c>
      <c r="C562" s="4">
        <v>40179</v>
      </c>
      <c r="D562" s="2"/>
      <c r="E562" s="2" t="s">
        <v>519</v>
      </c>
      <c r="F562" s="2" t="s">
        <v>1044</v>
      </c>
      <c r="G562" s="2">
        <v>500</v>
      </c>
      <c r="H562" s="21"/>
      <c r="I562" s="21" t="s">
        <v>796</v>
      </c>
      <c r="J562" s="2" t="s">
        <v>46</v>
      </c>
      <c r="K562" s="2" t="s">
        <v>39</v>
      </c>
      <c r="L562" s="2" t="s">
        <v>35</v>
      </c>
      <c r="M562" s="2"/>
      <c r="N562" s="2" t="s">
        <v>102</v>
      </c>
      <c r="O562" s="2" t="s">
        <v>1045</v>
      </c>
      <c r="P562" s="2" t="s">
        <v>1043</v>
      </c>
      <c r="Q562" s="2" t="s">
        <v>942</v>
      </c>
      <c r="R562" s="1">
        <v>3</v>
      </c>
      <c r="S562" s="2"/>
      <c r="T562" s="1"/>
      <c r="U562" s="1"/>
      <c r="V562" s="2"/>
      <c r="W562" s="2"/>
      <c r="X562" s="2"/>
      <c r="Y562" s="2"/>
      <c r="Z562" s="1">
        <f ca="1">IF(Table1[[#This Row],[Inactive_Date]]="",DATEDIF(Table1[[#This Row],[Date_Acq]],TODAY(),"m"),DATEDIF(Table1[[#This Row],[Date_Acq]],Table1[[#This Row],[Inactive_Date]],"m"))</f>
        <v>82</v>
      </c>
    </row>
    <row r="563" spans="1:26" s="17" customFormat="1" x14ac:dyDescent="0.4">
      <c r="A563" s="6"/>
      <c r="B563" s="7" t="s">
        <v>1046</v>
      </c>
      <c r="C563" s="4">
        <v>41352</v>
      </c>
      <c r="D563" s="2" t="s">
        <v>306</v>
      </c>
      <c r="E563" s="2" t="s">
        <v>1047</v>
      </c>
      <c r="F563" s="2" t="s">
        <v>1047</v>
      </c>
      <c r="G563" s="2">
        <v>1452</v>
      </c>
      <c r="H563" s="21">
        <v>57520</v>
      </c>
      <c r="I563" s="21" t="s">
        <v>13</v>
      </c>
      <c r="J563" s="2" t="s">
        <v>46</v>
      </c>
      <c r="K563" s="2" t="s">
        <v>39</v>
      </c>
      <c r="L563" s="2" t="s">
        <v>35</v>
      </c>
      <c r="M563" s="2"/>
      <c r="N563" s="2" t="s">
        <v>306</v>
      </c>
      <c r="O563" s="2"/>
      <c r="P563" s="2" t="s">
        <v>1048</v>
      </c>
      <c r="Q563" s="2"/>
      <c r="R563" s="1"/>
      <c r="S563" s="2" t="s">
        <v>1049</v>
      </c>
      <c r="T563" s="1"/>
      <c r="U563" s="1"/>
      <c r="V563" s="2"/>
      <c r="W563" s="2"/>
      <c r="X563" s="2"/>
      <c r="Y563" s="2"/>
      <c r="Z563" s="1">
        <f ca="1">IF(Table1[[#This Row],[Inactive_Date]]="",DATEDIF(Table1[[#This Row],[Date_Acq]],TODAY(),"m"),DATEDIF(Table1[[#This Row],[Date_Acq]],Table1[[#This Row],[Inactive_Date]],"m"))</f>
        <v>44</v>
      </c>
    </row>
    <row r="564" spans="1:26" s="17" customFormat="1" x14ac:dyDescent="0.4">
      <c r="A564" s="6"/>
      <c r="B564" s="7" t="s">
        <v>1050</v>
      </c>
      <c r="C564" s="4">
        <v>41303</v>
      </c>
      <c r="D564" s="2" t="s">
        <v>306</v>
      </c>
      <c r="E564" s="2" t="s">
        <v>1051</v>
      </c>
      <c r="F564" s="2" t="s">
        <v>1051</v>
      </c>
      <c r="G564" s="2">
        <v>1066.1300000000001</v>
      </c>
      <c r="H564" s="21">
        <v>57520</v>
      </c>
      <c r="I564" s="21" t="s">
        <v>13</v>
      </c>
      <c r="J564" s="2" t="s">
        <v>46</v>
      </c>
      <c r="K564" s="2" t="s">
        <v>39</v>
      </c>
      <c r="L564" s="2" t="s">
        <v>35</v>
      </c>
      <c r="M564" s="2"/>
      <c r="N564" s="2" t="s">
        <v>306</v>
      </c>
      <c r="O564" s="2"/>
      <c r="P564" s="2" t="s">
        <v>1052</v>
      </c>
      <c r="Q564" s="2"/>
      <c r="R564" s="1"/>
      <c r="S564" s="2" t="s">
        <v>1053</v>
      </c>
      <c r="T564" s="1"/>
      <c r="U564" s="1"/>
      <c r="V564" s="2"/>
      <c r="W564" s="2"/>
      <c r="X564" s="2"/>
      <c r="Y564" s="2"/>
      <c r="Z564" s="1">
        <f ca="1">IF(Table1[[#This Row],[Inactive_Date]]="",DATEDIF(Table1[[#This Row],[Date_Acq]],TODAY(),"m"),DATEDIF(Table1[[#This Row],[Date_Acq]],Table1[[#This Row],[Inactive_Date]],"m"))</f>
        <v>45</v>
      </c>
    </row>
    <row r="565" spans="1:26" s="17" customFormat="1" x14ac:dyDescent="0.4">
      <c r="A565" s="6"/>
      <c r="B565" s="7" t="s">
        <v>1054</v>
      </c>
      <c r="C565" s="4">
        <v>41131</v>
      </c>
      <c r="D565" s="2" t="s">
        <v>306</v>
      </c>
      <c r="E565" s="2" t="s">
        <v>1055</v>
      </c>
      <c r="F565" s="2" t="s">
        <v>1055</v>
      </c>
      <c r="G565" s="2">
        <v>2115</v>
      </c>
      <c r="H565" s="21">
        <v>57520</v>
      </c>
      <c r="I565" s="21" t="s">
        <v>13</v>
      </c>
      <c r="J565" s="2" t="s">
        <v>46</v>
      </c>
      <c r="K565" s="2" t="s">
        <v>39</v>
      </c>
      <c r="L565" s="2" t="s">
        <v>35</v>
      </c>
      <c r="M565" s="2"/>
      <c r="N565" s="2" t="s">
        <v>306</v>
      </c>
      <c r="O565" s="2"/>
      <c r="P565" s="2" t="s">
        <v>1056</v>
      </c>
      <c r="Q565" s="2"/>
      <c r="R565" s="1"/>
      <c r="S565" s="2" t="s">
        <v>1057</v>
      </c>
      <c r="T565" s="1"/>
      <c r="U565" s="1"/>
      <c r="V565" s="2"/>
      <c r="W565" s="2"/>
      <c r="X565" s="2"/>
      <c r="Y565" s="2"/>
      <c r="Z565" s="1">
        <f ca="1">IF(Table1[[#This Row],[Inactive_Date]]="",DATEDIF(Table1[[#This Row],[Date_Acq]],TODAY(),"m"),DATEDIF(Table1[[#This Row],[Date_Acq]],Table1[[#This Row],[Inactive_Date]],"m"))</f>
        <v>51</v>
      </c>
    </row>
    <row r="566" spans="1:26" s="17" customFormat="1" x14ac:dyDescent="0.4">
      <c r="A566" s="6"/>
      <c r="B566" s="7" t="s">
        <v>1058</v>
      </c>
      <c r="C566" s="4">
        <v>41131</v>
      </c>
      <c r="D566" s="2" t="s">
        <v>306</v>
      </c>
      <c r="E566" s="2" t="s">
        <v>1059</v>
      </c>
      <c r="F566" s="2" t="s">
        <v>1059</v>
      </c>
      <c r="G566" s="2">
        <v>1471</v>
      </c>
      <c r="H566" s="21">
        <v>57520</v>
      </c>
      <c r="I566" s="21" t="s">
        <v>13</v>
      </c>
      <c r="J566" s="2" t="s">
        <v>46</v>
      </c>
      <c r="K566" s="2" t="s">
        <v>39</v>
      </c>
      <c r="L566" s="2" t="s">
        <v>35</v>
      </c>
      <c r="M566" s="2"/>
      <c r="N566" s="2" t="s">
        <v>306</v>
      </c>
      <c r="O566" s="2"/>
      <c r="P566" s="2" t="s">
        <v>1060</v>
      </c>
      <c r="Q566" s="2"/>
      <c r="R566" s="1"/>
      <c r="S566" s="2" t="s">
        <v>1061</v>
      </c>
      <c r="T566" s="1"/>
      <c r="U566" s="1"/>
      <c r="V566" s="2"/>
      <c r="W566" s="2"/>
      <c r="X566" s="2"/>
      <c r="Y566" s="2"/>
      <c r="Z566" s="1">
        <f ca="1">IF(Table1[[#This Row],[Inactive_Date]]="",DATEDIF(Table1[[#This Row],[Date_Acq]],TODAY(),"m"),DATEDIF(Table1[[#This Row],[Date_Acq]],Table1[[#This Row],[Inactive_Date]],"m"))</f>
        <v>51</v>
      </c>
    </row>
    <row r="567" spans="1:26" s="17" customFormat="1" x14ac:dyDescent="0.4">
      <c r="A567" s="6"/>
      <c r="B567" s="7" t="s">
        <v>1062</v>
      </c>
      <c r="C567" s="4">
        <v>41073</v>
      </c>
      <c r="D567" s="2" t="s">
        <v>306</v>
      </c>
      <c r="E567" s="2" t="s">
        <v>1063</v>
      </c>
      <c r="F567" s="2" t="s">
        <v>1063</v>
      </c>
      <c r="G567" s="2">
        <v>2207</v>
      </c>
      <c r="H567" s="21">
        <v>57520</v>
      </c>
      <c r="I567" s="21" t="s">
        <v>13</v>
      </c>
      <c r="J567" s="2" t="s">
        <v>46</v>
      </c>
      <c r="K567" s="2" t="s">
        <v>39</v>
      </c>
      <c r="L567" s="2" t="s">
        <v>35</v>
      </c>
      <c r="M567" s="2"/>
      <c r="N567" s="2" t="s">
        <v>306</v>
      </c>
      <c r="O567" s="2"/>
      <c r="P567" s="2" t="s">
        <v>1064</v>
      </c>
      <c r="Q567" s="2"/>
      <c r="R567" s="1"/>
      <c r="S567" s="2" t="s">
        <v>1065</v>
      </c>
      <c r="T567" s="1"/>
      <c r="U567" s="1"/>
      <c r="V567" s="2"/>
      <c r="W567" s="2"/>
      <c r="X567" s="2"/>
      <c r="Y567" s="2"/>
      <c r="Z567" s="1">
        <f ca="1">IF(Table1[[#This Row],[Inactive_Date]]="",DATEDIF(Table1[[#This Row],[Date_Acq]],TODAY(),"m"),DATEDIF(Table1[[#This Row],[Date_Acq]],Table1[[#This Row],[Inactive_Date]],"m"))</f>
        <v>53</v>
      </c>
    </row>
    <row r="568" spans="1:26" s="17" customFormat="1" x14ac:dyDescent="0.4">
      <c r="A568" s="6"/>
      <c r="B568" s="7" t="s">
        <v>1066</v>
      </c>
      <c r="C568" s="4">
        <v>41725</v>
      </c>
      <c r="D568" s="2" t="s">
        <v>306</v>
      </c>
      <c r="E568" s="2" t="s">
        <v>1067</v>
      </c>
      <c r="F568" s="2" t="s">
        <v>1067</v>
      </c>
      <c r="G568" s="2">
        <v>2207</v>
      </c>
      <c r="H568" s="21">
        <v>57520</v>
      </c>
      <c r="I568" s="21" t="s">
        <v>108</v>
      </c>
      <c r="J568" s="2" t="s">
        <v>46</v>
      </c>
      <c r="K568" s="2" t="s">
        <v>39</v>
      </c>
      <c r="L568" s="2" t="s">
        <v>35</v>
      </c>
      <c r="M568" s="2"/>
      <c r="N568" s="2" t="s">
        <v>306</v>
      </c>
      <c r="O568" s="2"/>
      <c r="P568" s="2" t="s">
        <v>1068</v>
      </c>
      <c r="Q568" s="2"/>
      <c r="R568" s="1"/>
      <c r="S568" s="2" t="s">
        <v>1069</v>
      </c>
      <c r="T568" s="1"/>
      <c r="U568" s="1"/>
      <c r="V568" s="2"/>
      <c r="W568" s="2"/>
      <c r="X568" s="2"/>
      <c r="Y568" s="2"/>
      <c r="Z568" s="1">
        <f ca="1">IF(Table1[[#This Row],[Inactive_Date]]="",DATEDIF(Table1[[#This Row],[Date_Acq]],TODAY(),"m"),DATEDIF(Table1[[#This Row],[Date_Acq]],Table1[[#This Row],[Inactive_Date]],"m"))</f>
        <v>31</v>
      </c>
    </row>
    <row r="569" spans="1:26" s="17" customFormat="1" x14ac:dyDescent="0.4">
      <c r="A569" s="6"/>
      <c r="B569" s="7" t="s">
        <v>1070</v>
      </c>
      <c r="C569" s="4">
        <v>40955</v>
      </c>
      <c r="D569" s="2" t="s">
        <v>306</v>
      </c>
      <c r="E569" s="2" t="s">
        <v>1071</v>
      </c>
      <c r="F569" s="2" t="s">
        <v>1071</v>
      </c>
      <c r="G569" s="2">
        <v>1359</v>
      </c>
      <c r="H569" s="21">
        <v>57520</v>
      </c>
      <c r="I569" s="21" t="s">
        <v>13</v>
      </c>
      <c r="J569" s="2" t="s">
        <v>46</v>
      </c>
      <c r="K569" s="2" t="s">
        <v>39</v>
      </c>
      <c r="L569" s="2" t="s">
        <v>35</v>
      </c>
      <c r="M569" s="2"/>
      <c r="N569" s="2" t="s">
        <v>306</v>
      </c>
      <c r="O569" s="2"/>
      <c r="P569" s="2"/>
      <c r="Q569" s="2"/>
      <c r="R569" s="1"/>
      <c r="S569" s="2" t="s">
        <v>1072</v>
      </c>
      <c r="T569" s="1"/>
      <c r="U569" s="1"/>
      <c r="V569" s="2"/>
      <c r="W569" s="2"/>
      <c r="X569" s="2"/>
      <c r="Y569" s="2"/>
      <c r="Z569" s="1">
        <f ca="1">IF(Table1[[#This Row],[Inactive_Date]]="",DATEDIF(Table1[[#This Row],[Date_Acq]],TODAY(),"m"),DATEDIF(Table1[[#This Row],[Date_Acq]],Table1[[#This Row],[Inactive_Date]],"m"))</f>
        <v>57</v>
      </c>
    </row>
    <row r="570" spans="1:26" s="17" customFormat="1" x14ac:dyDescent="0.4">
      <c r="A570" s="6"/>
      <c r="B570" s="7" t="s">
        <v>1073</v>
      </c>
      <c r="C570" s="4">
        <v>40407</v>
      </c>
      <c r="D570" s="2" t="s">
        <v>360</v>
      </c>
      <c r="E570" s="2" t="s">
        <v>1074</v>
      </c>
      <c r="F570" s="2" t="s">
        <v>1074</v>
      </c>
      <c r="G570" s="2">
        <v>2301</v>
      </c>
      <c r="H570" s="21">
        <v>57520</v>
      </c>
      <c r="I570" s="21" t="s">
        <v>13</v>
      </c>
      <c r="J570" s="2" t="s">
        <v>46</v>
      </c>
      <c r="K570" s="2" t="s">
        <v>39</v>
      </c>
      <c r="L570" s="2" t="s">
        <v>35</v>
      </c>
      <c r="M570" s="2"/>
      <c r="N570" s="2" t="s">
        <v>306</v>
      </c>
      <c r="O570" s="2"/>
      <c r="P570" s="2"/>
      <c r="Q570" s="2"/>
      <c r="R570" s="1"/>
      <c r="S570" s="2" t="s">
        <v>1075</v>
      </c>
      <c r="T570" s="1"/>
      <c r="U570" s="1"/>
      <c r="V570" s="2"/>
      <c r="W570" s="2"/>
      <c r="X570" s="2"/>
      <c r="Y570" s="2"/>
      <c r="Z570" s="1">
        <f ca="1">IF(Table1[[#This Row],[Inactive_Date]]="",DATEDIF(Table1[[#This Row],[Date_Acq]],TODAY(),"m"),DATEDIF(Table1[[#This Row],[Date_Acq]],Table1[[#This Row],[Inactive_Date]],"m"))</f>
        <v>75</v>
      </c>
    </row>
    <row r="571" spans="1:26" s="17" customFormat="1" x14ac:dyDescent="0.4">
      <c r="A571" s="6"/>
      <c r="B571" s="7" t="s">
        <v>1076</v>
      </c>
      <c r="C571" s="4">
        <v>40371</v>
      </c>
      <c r="D571" s="2" t="s">
        <v>360</v>
      </c>
      <c r="E571" s="2" t="s">
        <v>1077</v>
      </c>
      <c r="F571" s="2" t="s">
        <v>1077</v>
      </c>
      <c r="G571" s="2">
        <v>1088</v>
      </c>
      <c r="H571" s="21">
        <v>57520</v>
      </c>
      <c r="I571" s="21" t="s">
        <v>13</v>
      </c>
      <c r="J571" s="2" t="s">
        <v>46</v>
      </c>
      <c r="K571" s="2" t="s">
        <v>39</v>
      </c>
      <c r="L571" s="2" t="s">
        <v>35</v>
      </c>
      <c r="M571" s="2"/>
      <c r="N571" s="2" t="s">
        <v>306</v>
      </c>
      <c r="O571" s="2"/>
      <c r="P571" s="2"/>
      <c r="Q571" s="2"/>
      <c r="R571" s="1"/>
      <c r="S571" s="2" t="s">
        <v>1078</v>
      </c>
      <c r="T571" s="1"/>
      <c r="U571" s="1"/>
      <c r="V571" s="2"/>
      <c r="W571" s="2"/>
      <c r="X571" s="2"/>
      <c r="Y571" s="2"/>
      <c r="Z571" s="1">
        <f ca="1">IF(Table1[[#This Row],[Inactive_Date]]="",DATEDIF(Table1[[#This Row],[Date_Acq]],TODAY(),"m"),DATEDIF(Table1[[#This Row],[Date_Acq]],Table1[[#This Row],[Inactive_Date]],"m"))</f>
        <v>76</v>
      </c>
    </row>
    <row r="572" spans="1:26" s="17" customFormat="1" x14ac:dyDescent="0.4">
      <c r="A572" s="6"/>
      <c r="B572" s="7" t="s">
        <v>1079</v>
      </c>
      <c r="C572" s="4">
        <v>40247</v>
      </c>
      <c r="D572" s="2" t="s">
        <v>102</v>
      </c>
      <c r="E572" s="2" t="s">
        <v>1080</v>
      </c>
      <c r="F572" s="2" t="s">
        <v>1080</v>
      </c>
      <c r="G572" s="2">
        <v>1439.25</v>
      </c>
      <c r="H572" s="21">
        <v>57520</v>
      </c>
      <c r="I572" s="21" t="s">
        <v>13</v>
      </c>
      <c r="J572" s="2" t="s">
        <v>46</v>
      </c>
      <c r="K572" s="2" t="s">
        <v>39</v>
      </c>
      <c r="L572" s="2" t="s">
        <v>35</v>
      </c>
      <c r="M572" s="2"/>
      <c r="N572" s="2" t="s">
        <v>102</v>
      </c>
      <c r="O572" s="2"/>
      <c r="P572" s="2"/>
      <c r="Q572" s="2"/>
      <c r="R572" s="1"/>
      <c r="S572" s="2" t="s">
        <v>1081</v>
      </c>
      <c r="T572" s="1"/>
      <c r="U572" s="1"/>
      <c r="V572" s="2"/>
      <c r="W572" s="2"/>
      <c r="X572" s="2"/>
      <c r="Y572" s="2"/>
      <c r="Z572" s="1">
        <f ca="1">IF(Table1[[#This Row],[Inactive_Date]]="",DATEDIF(Table1[[#This Row],[Date_Acq]],TODAY(),"m"),DATEDIF(Table1[[#This Row],[Date_Acq]],Table1[[#This Row],[Inactive_Date]],"m"))</f>
        <v>80</v>
      </c>
    </row>
    <row r="573" spans="1:26" s="17" customFormat="1" x14ac:dyDescent="0.4">
      <c r="A573" s="6"/>
      <c r="B573" s="7" t="s">
        <v>1082</v>
      </c>
      <c r="C573" s="4">
        <v>40203</v>
      </c>
      <c r="D573" s="2" t="s">
        <v>360</v>
      </c>
      <c r="E573" s="2" t="s">
        <v>1083</v>
      </c>
      <c r="F573" s="2" t="s">
        <v>1083</v>
      </c>
      <c r="G573" s="2">
        <v>2733</v>
      </c>
      <c r="H573" s="21">
        <v>57520</v>
      </c>
      <c r="I573" s="21" t="s">
        <v>13</v>
      </c>
      <c r="J573" s="2" t="s">
        <v>46</v>
      </c>
      <c r="K573" s="2" t="s">
        <v>39</v>
      </c>
      <c r="L573" s="2" t="s">
        <v>35</v>
      </c>
      <c r="M573" s="2"/>
      <c r="N573" s="2" t="s">
        <v>360</v>
      </c>
      <c r="O573" s="2"/>
      <c r="P573" s="2"/>
      <c r="Q573" s="2"/>
      <c r="R573" s="1"/>
      <c r="S573" s="2" t="s">
        <v>1084</v>
      </c>
      <c r="T573" s="1"/>
      <c r="U573" s="1"/>
      <c r="V573" s="2"/>
      <c r="W573" s="2"/>
      <c r="X573" s="2"/>
      <c r="Y573" s="2"/>
      <c r="Z573" s="1">
        <f ca="1">IF(Table1[[#This Row],[Inactive_Date]]="",DATEDIF(Table1[[#This Row],[Date_Acq]],TODAY(),"m"),DATEDIF(Table1[[#This Row],[Date_Acq]],Table1[[#This Row],[Inactive_Date]],"m"))</f>
        <v>81</v>
      </c>
    </row>
    <row r="574" spans="1:26" s="17" customFormat="1" x14ac:dyDescent="0.4">
      <c r="A574" s="6"/>
      <c r="B574" s="7" t="s">
        <v>1085</v>
      </c>
      <c r="C574" s="4">
        <v>40121</v>
      </c>
      <c r="D574" s="2" t="s">
        <v>306</v>
      </c>
      <c r="E574" s="2" t="s">
        <v>1086</v>
      </c>
      <c r="F574" s="2" t="s">
        <v>1086</v>
      </c>
      <c r="G574" s="2">
        <v>2185</v>
      </c>
      <c r="H574" s="21">
        <v>57520</v>
      </c>
      <c r="I574" s="21" t="s">
        <v>13</v>
      </c>
      <c r="J574" s="2" t="s">
        <v>46</v>
      </c>
      <c r="K574" s="2" t="s">
        <v>39</v>
      </c>
      <c r="L574" s="2" t="s">
        <v>35</v>
      </c>
      <c r="M574" s="2"/>
      <c r="N574" s="2" t="s">
        <v>306</v>
      </c>
      <c r="O574" s="2"/>
      <c r="P574" s="2"/>
      <c r="Q574" s="2"/>
      <c r="R574" s="1"/>
      <c r="S574" s="2" t="s">
        <v>1087</v>
      </c>
      <c r="T574" s="1"/>
      <c r="U574" s="1"/>
      <c r="V574" s="2"/>
      <c r="W574" s="2"/>
      <c r="X574" s="2"/>
      <c r="Y574" s="2"/>
      <c r="Z574" s="1">
        <f ca="1">IF(Table1[[#This Row],[Inactive_Date]]="",DATEDIF(Table1[[#This Row],[Date_Acq]],TODAY(),"m"),DATEDIF(Table1[[#This Row],[Date_Acq]],Table1[[#This Row],[Inactive_Date]],"m"))</f>
        <v>84</v>
      </c>
    </row>
    <row r="575" spans="1:26" s="17" customFormat="1" x14ac:dyDescent="0.4">
      <c r="A575" s="6"/>
      <c r="B575" s="7" t="s">
        <v>1088</v>
      </c>
      <c r="C575" s="4">
        <v>38892</v>
      </c>
      <c r="D575" s="2" t="s">
        <v>102</v>
      </c>
      <c r="E575" s="2" t="s">
        <v>1089</v>
      </c>
      <c r="F575" s="2" t="s">
        <v>1089</v>
      </c>
      <c r="G575" s="2">
        <v>1444</v>
      </c>
      <c r="H575" s="21">
        <v>2476</v>
      </c>
      <c r="I575" s="21" t="s">
        <v>13</v>
      </c>
      <c r="J575" s="2" t="s">
        <v>46</v>
      </c>
      <c r="K575" s="2" t="s">
        <v>39</v>
      </c>
      <c r="L575" s="2" t="s">
        <v>35</v>
      </c>
      <c r="M575" s="2"/>
      <c r="N575" s="2" t="s">
        <v>102</v>
      </c>
      <c r="O575" s="2"/>
      <c r="P575" s="2"/>
      <c r="Q575" s="2"/>
      <c r="R575" s="1"/>
      <c r="S575" s="2" t="s">
        <v>1090</v>
      </c>
      <c r="T575" s="1"/>
      <c r="U575" s="1"/>
      <c r="V575" s="2"/>
      <c r="W575" s="2"/>
      <c r="X575" s="2"/>
      <c r="Y575" s="2"/>
      <c r="Z575" s="1">
        <f ca="1">IF(Table1[[#This Row],[Inactive_Date]]="",DATEDIF(Table1[[#This Row],[Date_Acq]],TODAY(),"m"),DATEDIF(Table1[[#This Row],[Date_Acq]],Table1[[#This Row],[Inactive_Date]],"m"))</f>
        <v>124</v>
      </c>
    </row>
    <row r="576" spans="1:26" s="17" customFormat="1" hidden="1" x14ac:dyDescent="0.4">
      <c r="A576" s="6"/>
      <c r="B576" s="7" t="s">
        <v>1091</v>
      </c>
      <c r="C576" s="4">
        <v>41699</v>
      </c>
      <c r="D576" s="2" t="s">
        <v>1092</v>
      </c>
      <c r="E576" s="2" t="s">
        <v>1093</v>
      </c>
      <c r="F576" s="2" t="s">
        <v>1093</v>
      </c>
      <c r="G576" s="2">
        <v>219</v>
      </c>
      <c r="H576" s="21">
        <v>57520</v>
      </c>
      <c r="I576" s="21" t="s">
        <v>13</v>
      </c>
      <c r="J576" s="2" t="s">
        <v>46</v>
      </c>
      <c r="K576" s="2" t="s">
        <v>34</v>
      </c>
      <c r="L576" s="2" t="s">
        <v>35</v>
      </c>
      <c r="M576" s="2"/>
      <c r="N576" s="2" t="s">
        <v>1092</v>
      </c>
      <c r="O576" s="2"/>
      <c r="P576" s="2"/>
      <c r="Q576" s="2"/>
      <c r="R576" s="1"/>
      <c r="S576" s="2" t="s">
        <v>1094</v>
      </c>
      <c r="T576" s="1"/>
      <c r="U576" s="1"/>
      <c r="V576" s="2"/>
      <c r="W576" s="2"/>
      <c r="X576" s="2"/>
      <c r="Y576" s="2"/>
      <c r="Z576" s="1">
        <f ca="1">IF(Table1[[#This Row],[Inactive_Date]]="",DATEDIF(Table1[[#This Row],[Date_Acq]],TODAY(),"m"),DATEDIF(Table1[[#This Row],[Date_Acq]],Table1[[#This Row],[Inactive_Date]],"m"))</f>
        <v>32</v>
      </c>
    </row>
    <row r="577" spans="1:26" s="17" customFormat="1" hidden="1" x14ac:dyDescent="0.4">
      <c r="A577" s="6"/>
      <c r="B577" s="7" t="s">
        <v>1095</v>
      </c>
      <c r="C577" s="4">
        <v>41695</v>
      </c>
      <c r="D577" s="2" t="s">
        <v>1096</v>
      </c>
      <c r="E577" s="2" t="s">
        <v>1097</v>
      </c>
      <c r="F577" s="2" t="s">
        <v>1097</v>
      </c>
      <c r="G577" s="2">
        <v>249</v>
      </c>
      <c r="H577" s="21">
        <v>57520</v>
      </c>
      <c r="I577" s="21" t="s">
        <v>13</v>
      </c>
      <c r="J577" s="2" t="s">
        <v>46</v>
      </c>
      <c r="K577" s="2" t="s">
        <v>34</v>
      </c>
      <c r="L577" s="2" t="s">
        <v>35</v>
      </c>
      <c r="M577" s="2"/>
      <c r="N577" s="2" t="s">
        <v>1096</v>
      </c>
      <c r="O577" s="2"/>
      <c r="P577" s="2"/>
      <c r="Q577" s="2"/>
      <c r="R577" s="1"/>
      <c r="S577" s="2" t="s">
        <v>1098</v>
      </c>
      <c r="T577" s="1"/>
      <c r="U577" s="1"/>
      <c r="V577" s="2"/>
      <c r="W577" s="2"/>
      <c r="X577" s="2"/>
      <c r="Y577" s="2"/>
      <c r="Z577" s="1">
        <f ca="1">IF(Table1[[#This Row],[Inactive_Date]]="",DATEDIF(Table1[[#This Row],[Date_Acq]],TODAY(),"m"),DATEDIF(Table1[[#This Row],[Date_Acq]],Table1[[#This Row],[Inactive_Date]],"m"))</f>
        <v>32</v>
      </c>
    </row>
    <row r="578" spans="1:26" s="17" customFormat="1" hidden="1" x14ac:dyDescent="0.4">
      <c r="A578" s="6"/>
      <c r="B578" s="7" t="s">
        <v>1099</v>
      </c>
      <c r="C578" s="4">
        <v>41581</v>
      </c>
      <c r="D578" s="2" t="s">
        <v>1100</v>
      </c>
      <c r="E578" s="2" t="s">
        <v>1101</v>
      </c>
      <c r="F578" s="2" t="s">
        <v>1101</v>
      </c>
      <c r="G578" s="2">
        <v>299</v>
      </c>
      <c r="H578" s="21">
        <v>57520</v>
      </c>
      <c r="I578" s="21" t="s">
        <v>13</v>
      </c>
      <c r="J578" s="2" t="s">
        <v>46</v>
      </c>
      <c r="K578" s="2" t="s">
        <v>34</v>
      </c>
      <c r="L578" s="2" t="s">
        <v>35</v>
      </c>
      <c r="M578" s="2"/>
      <c r="N578" s="2" t="s">
        <v>1100</v>
      </c>
      <c r="O578" s="2"/>
      <c r="P578" s="2" t="s">
        <v>1102</v>
      </c>
      <c r="Q578" s="2"/>
      <c r="R578" s="1"/>
      <c r="S578" s="2" t="s">
        <v>1103</v>
      </c>
      <c r="T578" s="1"/>
      <c r="U578" s="1"/>
      <c r="V578" s="2"/>
      <c r="W578" s="2"/>
      <c r="X578" s="2"/>
      <c r="Y578" s="2"/>
      <c r="Z578" s="1">
        <f ca="1">IF(Table1[[#This Row],[Inactive_Date]]="",DATEDIF(Table1[[#This Row],[Date_Acq]],TODAY(),"m"),DATEDIF(Table1[[#This Row],[Date_Acq]],Table1[[#This Row],[Inactive_Date]],"m"))</f>
        <v>36</v>
      </c>
    </row>
    <row r="579" spans="1:26" s="17" customFormat="1" hidden="1" x14ac:dyDescent="0.4">
      <c r="A579" s="6"/>
      <c r="B579" s="7" t="s">
        <v>1104</v>
      </c>
      <c r="C579" s="4">
        <v>41581</v>
      </c>
      <c r="D579" s="2" t="s">
        <v>1100</v>
      </c>
      <c r="E579" s="2" t="s">
        <v>1101</v>
      </c>
      <c r="F579" s="2" t="s">
        <v>1101</v>
      </c>
      <c r="G579" s="2">
        <v>299</v>
      </c>
      <c r="H579" s="21">
        <v>57520</v>
      </c>
      <c r="I579" s="21" t="s">
        <v>796</v>
      </c>
      <c r="J579" s="2" t="s">
        <v>46</v>
      </c>
      <c r="K579" s="2" t="s">
        <v>34</v>
      </c>
      <c r="L579" s="2" t="s">
        <v>35</v>
      </c>
      <c r="M579" s="2"/>
      <c r="N579" s="2" t="s">
        <v>1100</v>
      </c>
      <c r="O579" s="2"/>
      <c r="P579" s="2" t="s">
        <v>1105</v>
      </c>
      <c r="Q579" s="2"/>
      <c r="R579" s="1"/>
      <c r="S579" s="2" t="s">
        <v>1106</v>
      </c>
      <c r="T579" s="1"/>
      <c r="U579" s="1"/>
      <c r="V579" s="2"/>
      <c r="W579" s="2"/>
      <c r="X579" s="2"/>
      <c r="Y579" s="2"/>
      <c r="Z579" s="1">
        <f ca="1">IF(Table1[[#This Row],[Inactive_Date]]="",DATEDIF(Table1[[#This Row],[Date_Acq]],TODAY(),"m"),DATEDIF(Table1[[#This Row],[Date_Acq]],Table1[[#This Row],[Inactive_Date]],"m"))</f>
        <v>36</v>
      </c>
    </row>
    <row r="580" spans="1:26" s="17" customFormat="1" hidden="1" x14ac:dyDescent="0.4">
      <c r="A580" s="6"/>
      <c r="B580" s="7" t="s">
        <v>1107</v>
      </c>
      <c r="C580" s="4">
        <v>41581</v>
      </c>
      <c r="D580" s="2" t="s">
        <v>1100</v>
      </c>
      <c r="E580" s="2" t="s">
        <v>1101</v>
      </c>
      <c r="F580" s="2" t="s">
        <v>1101</v>
      </c>
      <c r="G580" s="2">
        <v>299</v>
      </c>
      <c r="H580" s="21">
        <v>57520</v>
      </c>
      <c r="I580" s="21" t="s">
        <v>796</v>
      </c>
      <c r="J580" s="2" t="s">
        <v>46</v>
      </c>
      <c r="K580" s="2" t="s">
        <v>34</v>
      </c>
      <c r="L580" s="2" t="s">
        <v>35</v>
      </c>
      <c r="M580" s="2"/>
      <c r="N580" s="2" t="s">
        <v>1100</v>
      </c>
      <c r="O580" s="2"/>
      <c r="P580" s="2" t="s">
        <v>1108</v>
      </c>
      <c r="Q580" s="2"/>
      <c r="R580" s="1"/>
      <c r="S580" s="2" t="s">
        <v>1109</v>
      </c>
      <c r="T580" s="1"/>
      <c r="U580" s="1"/>
      <c r="V580" s="2"/>
      <c r="W580" s="2"/>
      <c r="X580" s="2"/>
      <c r="Y580" s="2"/>
      <c r="Z580" s="1">
        <f ca="1">IF(Table1[[#This Row],[Inactive_Date]]="",DATEDIF(Table1[[#This Row],[Date_Acq]],TODAY(),"m"),DATEDIF(Table1[[#This Row],[Date_Acq]],Table1[[#This Row],[Inactive_Date]],"m"))</f>
        <v>36</v>
      </c>
    </row>
    <row r="581" spans="1:26" s="17" customFormat="1" hidden="1" x14ac:dyDescent="0.4">
      <c r="A581" s="6"/>
      <c r="B581" s="7" t="s">
        <v>1110</v>
      </c>
      <c r="C581" s="4">
        <v>41581</v>
      </c>
      <c r="D581" s="2" t="s">
        <v>1100</v>
      </c>
      <c r="E581" s="2" t="s">
        <v>1101</v>
      </c>
      <c r="F581" s="2" t="s">
        <v>1101</v>
      </c>
      <c r="G581" s="2">
        <v>299</v>
      </c>
      <c r="H581" s="21">
        <v>57520</v>
      </c>
      <c r="I581" s="21" t="s">
        <v>796</v>
      </c>
      <c r="J581" s="2" t="s">
        <v>46</v>
      </c>
      <c r="K581" s="2" t="s">
        <v>34</v>
      </c>
      <c r="L581" s="2" t="s">
        <v>35</v>
      </c>
      <c r="M581" s="2"/>
      <c r="N581" s="2" t="s">
        <v>1100</v>
      </c>
      <c r="O581" s="2" t="s">
        <v>977</v>
      </c>
      <c r="P581" s="2" t="s">
        <v>1111</v>
      </c>
      <c r="Q581" s="2"/>
      <c r="R581" s="1"/>
      <c r="S581" s="2" t="s">
        <v>1109</v>
      </c>
      <c r="T581" s="1"/>
      <c r="U581" s="1"/>
      <c r="V581" s="2"/>
      <c r="W581" s="2"/>
      <c r="X581" s="2"/>
      <c r="Y581" s="2"/>
      <c r="Z581" s="1">
        <f ca="1">IF(Table1[[#This Row],[Inactive_Date]]="",DATEDIF(Table1[[#This Row],[Date_Acq]],TODAY(),"m"),DATEDIF(Table1[[#This Row],[Date_Acq]],Table1[[#This Row],[Inactive_Date]],"m"))</f>
        <v>36</v>
      </c>
    </row>
    <row r="582" spans="1:26" s="17" customFormat="1" hidden="1" x14ac:dyDescent="0.4">
      <c r="A582" s="6"/>
      <c r="B582" s="7" t="s">
        <v>1112</v>
      </c>
      <c r="C582" s="4">
        <v>40133</v>
      </c>
      <c r="D582" s="2" t="s">
        <v>306</v>
      </c>
      <c r="E582" s="2" t="s">
        <v>1113</v>
      </c>
      <c r="F582" s="2" t="s">
        <v>1113</v>
      </c>
      <c r="G582" s="2">
        <v>881.51</v>
      </c>
      <c r="H582" s="21">
        <v>57520</v>
      </c>
      <c r="I582" s="21" t="s">
        <v>13</v>
      </c>
      <c r="J582" s="2" t="s">
        <v>46</v>
      </c>
      <c r="K582" s="2" t="s">
        <v>34</v>
      </c>
      <c r="L582" s="2" t="s">
        <v>35</v>
      </c>
      <c r="M582" s="2"/>
      <c r="N582" s="2" t="s">
        <v>306</v>
      </c>
      <c r="O582" s="2"/>
      <c r="P582" s="2"/>
      <c r="Q582" s="2"/>
      <c r="R582" s="1"/>
      <c r="S582" s="2" t="s">
        <v>1109</v>
      </c>
      <c r="T582" s="1"/>
      <c r="U582" s="1"/>
      <c r="V582" s="2"/>
      <c r="W582" s="2"/>
      <c r="X582" s="2"/>
      <c r="Y582" s="2"/>
      <c r="Z582" s="1">
        <f ca="1">IF(Table1[[#This Row],[Inactive_Date]]="",DATEDIF(Table1[[#This Row],[Date_Acq]],TODAY(),"m"),DATEDIF(Table1[[#This Row],[Date_Acq]],Table1[[#This Row],[Inactive_Date]],"m"))</f>
        <v>84</v>
      </c>
    </row>
    <row r="583" spans="1:26" s="17" customFormat="1" x14ac:dyDescent="0.4">
      <c r="A583" s="6"/>
      <c r="B583" s="7" t="s">
        <v>1114</v>
      </c>
      <c r="C583" s="4">
        <v>41372</v>
      </c>
      <c r="D583" s="2" t="s">
        <v>306</v>
      </c>
      <c r="E583" s="2" t="s">
        <v>1115</v>
      </c>
      <c r="F583" s="2" t="s">
        <v>1115</v>
      </c>
      <c r="G583" s="2">
        <v>1523</v>
      </c>
      <c r="H583" s="21">
        <v>57520</v>
      </c>
      <c r="I583" s="21" t="s">
        <v>108</v>
      </c>
      <c r="J583" s="2" t="s">
        <v>46</v>
      </c>
      <c r="K583" s="2" t="s">
        <v>39</v>
      </c>
      <c r="L583" s="2" t="s">
        <v>35</v>
      </c>
      <c r="M583" s="2"/>
      <c r="N583" s="2" t="s">
        <v>306</v>
      </c>
      <c r="O583" s="2" t="s">
        <v>406</v>
      </c>
      <c r="P583" s="2" t="s">
        <v>1116</v>
      </c>
      <c r="Q583" s="2" t="s">
        <v>446</v>
      </c>
      <c r="R583" s="1">
        <v>3</v>
      </c>
      <c r="S583" s="2"/>
      <c r="T583" s="1" t="s">
        <v>410</v>
      </c>
      <c r="U583" s="1"/>
      <c r="V583" s="2"/>
      <c r="W583" s="2"/>
      <c r="X583" s="2"/>
      <c r="Y583" s="2"/>
      <c r="Z583" s="1">
        <f ca="1">IF(Table1[[#This Row],[Inactive_Date]]="",DATEDIF(Table1[[#This Row],[Date_Acq]],TODAY(),"m"),DATEDIF(Table1[[#This Row],[Date_Acq]],Table1[[#This Row],[Inactive_Date]],"m"))</f>
        <v>43</v>
      </c>
    </row>
    <row r="584" spans="1:26" s="17" customFormat="1" x14ac:dyDescent="0.4">
      <c r="A584" s="6"/>
      <c r="B584" s="7" t="s">
        <v>1117</v>
      </c>
      <c r="C584" s="4">
        <v>38648</v>
      </c>
      <c r="D584" s="2" t="s">
        <v>102</v>
      </c>
      <c r="E584" s="2" t="s">
        <v>1118</v>
      </c>
      <c r="F584" s="2" t="s">
        <v>1118</v>
      </c>
      <c r="G584" s="2">
        <v>1480</v>
      </c>
      <c r="H584" s="21">
        <v>0</v>
      </c>
      <c r="I584" s="21" t="s">
        <v>167</v>
      </c>
      <c r="J584" s="2" t="s">
        <v>46</v>
      </c>
      <c r="K584" s="2" t="s">
        <v>39</v>
      </c>
      <c r="L584" s="2" t="s">
        <v>35</v>
      </c>
      <c r="M584" s="2"/>
      <c r="N584" s="2" t="s">
        <v>102</v>
      </c>
      <c r="O584" s="2"/>
      <c r="P584" s="2"/>
      <c r="Q584" s="2"/>
      <c r="R584" s="1"/>
      <c r="S584" s="2" t="s">
        <v>1103</v>
      </c>
      <c r="T584" s="1"/>
      <c r="U584" s="1"/>
      <c r="V584" s="2"/>
      <c r="W584" s="2"/>
      <c r="X584" s="2"/>
      <c r="Y584" s="2"/>
      <c r="Z584" s="1">
        <f ca="1">IF(Table1[[#This Row],[Inactive_Date]]="",DATEDIF(Table1[[#This Row],[Date_Acq]],TODAY(),"m"),DATEDIF(Table1[[#This Row],[Date_Acq]],Table1[[#This Row],[Inactive_Date]],"m"))</f>
        <v>132</v>
      </c>
    </row>
    <row r="585" spans="1:26" s="17" customFormat="1" hidden="1" x14ac:dyDescent="0.4">
      <c r="A585" s="6"/>
      <c r="B585" s="7" t="s">
        <v>1119</v>
      </c>
      <c r="C585" s="4">
        <v>41480</v>
      </c>
      <c r="D585" s="2" t="s">
        <v>306</v>
      </c>
      <c r="E585" s="2" t="s">
        <v>1120</v>
      </c>
      <c r="F585" s="2" t="s">
        <v>1120</v>
      </c>
      <c r="G585" s="2">
        <v>391</v>
      </c>
      <c r="H585" s="21">
        <v>57520</v>
      </c>
      <c r="I585" s="21" t="s">
        <v>13</v>
      </c>
      <c r="J585" s="2" t="s">
        <v>46</v>
      </c>
      <c r="K585" s="2" t="s">
        <v>34</v>
      </c>
      <c r="L585" s="2" t="s">
        <v>35</v>
      </c>
      <c r="M585" s="2"/>
      <c r="N585" s="2" t="s">
        <v>306</v>
      </c>
      <c r="O585" s="2"/>
      <c r="P585" s="2"/>
      <c r="Q585" s="2"/>
      <c r="R585" s="1"/>
      <c r="S585" s="2" t="s">
        <v>1103</v>
      </c>
      <c r="T585" s="1"/>
      <c r="U585" s="1"/>
      <c r="V585" s="2"/>
      <c r="W585" s="2"/>
      <c r="X585" s="2"/>
      <c r="Y585" s="2"/>
      <c r="Z585" s="1">
        <f ca="1">IF(Table1[[#This Row],[Inactive_Date]]="",DATEDIF(Table1[[#This Row],[Date_Acq]],TODAY(),"m"),DATEDIF(Table1[[#This Row],[Date_Acq]],Table1[[#This Row],[Inactive_Date]],"m"))</f>
        <v>39</v>
      </c>
    </row>
    <row r="586" spans="1:26" s="17" customFormat="1" hidden="1" x14ac:dyDescent="0.4">
      <c r="A586" s="6"/>
      <c r="B586" s="7" t="s">
        <v>1121</v>
      </c>
      <c r="C586" s="4">
        <v>41480</v>
      </c>
      <c r="D586" s="2" t="s">
        <v>306</v>
      </c>
      <c r="E586" s="2" t="s">
        <v>1120</v>
      </c>
      <c r="F586" s="2" t="s">
        <v>1120</v>
      </c>
      <c r="G586" s="2">
        <v>391</v>
      </c>
      <c r="H586" s="21">
        <v>57520</v>
      </c>
      <c r="I586" s="21" t="s">
        <v>13</v>
      </c>
      <c r="J586" s="2" t="s">
        <v>46</v>
      </c>
      <c r="K586" s="2" t="s">
        <v>34</v>
      </c>
      <c r="L586" s="2" t="s">
        <v>35</v>
      </c>
      <c r="M586" s="2"/>
      <c r="N586" s="2" t="s">
        <v>306</v>
      </c>
      <c r="O586" s="2"/>
      <c r="P586" s="2"/>
      <c r="Q586" s="2"/>
      <c r="R586" s="1"/>
      <c r="S586" s="2" t="s">
        <v>1122</v>
      </c>
      <c r="T586" s="1"/>
      <c r="U586" s="1"/>
      <c r="V586" s="2"/>
      <c r="W586" s="2"/>
      <c r="X586" s="2"/>
      <c r="Y586" s="2"/>
      <c r="Z586" s="1">
        <f ca="1">IF(Table1[[#This Row],[Inactive_Date]]="",DATEDIF(Table1[[#This Row],[Date_Acq]],TODAY(),"m"),DATEDIF(Table1[[#This Row],[Date_Acq]],Table1[[#This Row],[Inactive_Date]],"m"))</f>
        <v>39</v>
      </c>
    </row>
    <row r="587" spans="1:26" s="17" customFormat="1" hidden="1" x14ac:dyDescent="0.4">
      <c r="A587" s="6"/>
      <c r="B587" s="7" t="s">
        <v>1123</v>
      </c>
      <c r="C587" s="4">
        <v>41480</v>
      </c>
      <c r="D587" s="2" t="s">
        <v>306</v>
      </c>
      <c r="E587" s="2" t="s">
        <v>1120</v>
      </c>
      <c r="F587" s="2" t="s">
        <v>1120</v>
      </c>
      <c r="G587" s="2">
        <v>391</v>
      </c>
      <c r="H587" s="21">
        <v>57520</v>
      </c>
      <c r="I587" s="21" t="s">
        <v>13</v>
      </c>
      <c r="J587" s="2" t="s">
        <v>46</v>
      </c>
      <c r="K587" s="2" t="s">
        <v>34</v>
      </c>
      <c r="L587" s="2" t="s">
        <v>35</v>
      </c>
      <c r="M587" s="2"/>
      <c r="N587" s="2" t="s">
        <v>306</v>
      </c>
      <c r="O587" s="2"/>
      <c r="P587" s="2"/>
      <c r="Q587" s="2"/>
      <c r="R587" s="1"/>
      <c r="S587" s="2" t="s">
        <v>1103</v>
      </c>
      <c r="T587" s="1"/>
      <c r="U587" s="1"/>
      <c r="V587" s="2"/>
      <c r="W587" s="2"/>
      <c r="X587" s="2"/>
      <c r="Y587" s="2"/>
      <c r="Z587" s="1">
        <f ca="1">IF(Table1[[#This Row],[Inactive_Date]]="",DATEDIF(Table1[[#This Row],[Date_Acq]],TODAY(),"m"),DATEDIF(Table1[[#This Row],[Date_Acq]],Table1[[#This Row],[Inactive_Date]],"m"))</f>
        <v>39</v>
      </c>
    </row>
    <row r="588" spans="1:26" s="17" customFormat="1" hidden="1" x14ac:dyDescent="0.4">
      <c r="A588" s="6"/>
      <c r="B588" s="7" t="s">
        <v>1124</v>
      </c>
      <c r="C588" s="4">
        <v>41480</v>
      </c>
      <c r="D588" s="2" t="s">
        <v>306</v>
      </c>
      <c r="E588" s="2" t="s">
        <v>1120</v>
      </c>
      <c r="F588" s="2" t="s">
        <v>1120</v>
      </c>
      <c r="G588" s="2">
        <v>391</v>
      </c>
      <c r="H588" s="21">
        <v>57520</v>
      </c>
      <c r="I588" s="21" t="s">
        <v>13</v>
      </c>
      <c r="J588" s="2" t="s">
        <v>46</v>
      </c>
      <c r="K588" s="2" t="s">
        <v>34</v>
      </c>
      <c r="L588" s="2" t="s">
        <v>35</v>
      </c>
      <c r="M588" s="2"/>
      <c r="N588" s="2" t="s">
        <v>306</v>
      </c>
      <c r="O588" s="2"/>
      <c r="P588" s="2"/>
      <c r="Q588" s="2"/>
      <c r="R588" s="1"/>
      <c r="S588" s="2" t="s">
        <v>1103</v>
      </c>
      <c r="T588" s="1"/>
      <c r="U588" s="1"/>
      <c r="V588" s="2"/>
      <c r="W588" s="2"/>
      <c r="X588" s="2"/>
      <c r="Y588" s="2"/>
      <c r="Z588" s="1">
        <f ca="1">IF(Table1[[#This Row],[Inactive_Date]]="",DATEDIF(Table1[[#This Row],[Date_Acq]],TODAY(),"m"),DATEDIF(Table1[[#This Row],[Date_Acq]],Table1[[#This Row],[Inactive_Date]],"m"))</f>
        <v>39</v>
      </c>
    </row>
    <row r="589" spans="1:26" s="17" customFormat="1" hidden="1" x14ac:dyDescent="0.4">
      <c r="A589" s="6"/>
      <c r="B589" s="7" t="s">
        <v>1125</v>
      </c>
      <c r="C589" s="4">
        <v>41409</v>
      </c>
      <c r="D589" s="2" t="s">
        <v>306</v>
      </c>
      <c r="E589" s="2" t="s">
        <v>1126</v>
      </c>
      <c r="F589" s="2" t="s">
        <v>1126</v>
      </c>
      <c r="G589" s="2">
        <v>326</v>
      </c>
      <c r="H589" s="21">
        <v>57520</v>
      </c>
      <c r="I589" s="21" t="s">
        <v>13</v>
      </c>
      <c r="J589" s="2" t="s">
        <v>46</v>
      </c>
      <c r="K589" s="2" t="s">
        <v>34</v>
      </c>
      <c r="L589" s="2" t="s">
        <v>35</v>
      </c>
      <c r="M589" s="2"/>
      <c r="N589" s="2" t="s">
        <v>306</v>
      </c>
      <c r="O589" s="2"/>
      <c r="P589" s="2"/>
      <c r="Q589" s="2"/>
      <c r="R589" s="1"/>
      <c r="S589" s="2" t="s">
        <v>1127</v>
      </c>
      <c r="T589" s="1"/>
      <c r="U589" s="1"/>
      <c r="V589" s="2"/>
      <c r="W589" s="2"/>
      <c r="X589" s="2"/>
      <c r="Y589" s="2"/>
      <c r="Z589" s="1">
        <f ca="1">IF(Table1[[#This Row],[Inactive_Date]]="",DATEDIF(Table1[[#This Row],[Date_Acq]],TODAY(),"m"),DATEDIF(Table1[[#This Row],[Date_Acq]],Table1[[#This Row],[Inactive_Date]],"m"))</f>
        <v>42</v>
      </c>
    </row>
    <row r="590" spans="1:26" s="17" customFormat="1" hidden="1" x14ac:dyDescent="0.4">
      <c r="A590" s="6"/>
      <c r="B590" s="7" t="s">
        <v>1128</v>
      </c>
      <c r="C590" s="4">
        <v>41136</v>
      </c>
      <c r="D590" s="2" t="s">
        <v>248</v>
      </c>
      <c r="E590" s="2" t="s">
        <v>1126</v>
      </c>
      <c r="F590" s="2" t="s">
        <v>1126</v>
      </c>
      <c r="G590" s="2">
        <v>389</v>
      </c>
      <c r="H590" s="21">
        <v>57520</v>
      </c>
      <c r="I590" s="21" t="s">
        <v>13</v>
      </c>
      <c r="J590" s="2" t="s">
        <v>46</v>
      </c>
      <c r="K590" s="2" t="s">
        <v>34</v>
      </c>
      <c r="L590" s="2" t="s">
        <v>35</v>
      </c>
      <c r="M590" s="2"/>
      <c r="N590" s="2" t="s">
        <v>248</v>
      </c>
      <c r="O590" s="2"/>
      <c r="P590" s="2"/>
      <c r="Q590" s="2"/>
      <c r="R590" s="1"/>
      <c r="S590" s="2" t="s">
        <v>1094</v>
      </c>
      <c r="T590" s="1"/>
      <c r="U590" s="1"/>
      <c r="V590" s="2"/>
      <c r="W590" s="2"/>
      <c r="X590" s="2"/>
      <c r="Y590" s="2"/>
      <c r="Z590" s="1">
        <f ca="1">IF(Table1[[#This Row],[Inactive_Date]]="",DATEDIF(Table1[[#This Row],[Date_Acq]],TODAY(),"m"),DATEDIF(Table1[[#This Row],[Date_Acq]],Table1[[#This Row],[Inactive_Date]],"m"))</f>
        <v>51</v>
      </c>
    </row>
    <row r="591" spans="1:26" s="17" customFormat="1" x14ac:dyDescent="0.4">
      <c r="A591" s="6"/>
      <c r="B591" s="7" t="s">
        <v>1129</v>
      </c>
      <c r="C591" s="4">
        <v>41372</v>
      </c>
      <c r="D591" s="2" t="s">
        <v>306</v>
      </c>
      <c r="E591" s="2" t="s">
        <v>1115</v>
      </c>
      <c r="F591" s="2" t="s">
        <v>1115</v>
      </c>
      <c r="G591" s="2">
        <v>1497</v>
      </c>
      <c r="H591" s="21">
        <v>57520</v>
      </c>
      <c r="I591" s="21" t="s">
        <v>13</v>
      </c>
      <c r="J591" s="2" t="s">
        <v>46</v>
      </c>
      <c r="K591" s="2" t="s">
        <v>39</v>
      </c>
      <c r="L591" s="2" t="s">
        <v>35</v>
      </c>
      <c r="M591" s="2"/>
      <c r="N591" s="2" t="s">
        <v>306</v>
      </c>
      <c r="O591" s="2"/>
      <c r="P591" s="2" t="s">
        <v>1130</v>
      </c>
      <c r="Q591" s="2"/>
      <c r="R591" s="1"/>
      <c r="S591" s="2" t="s">
        <v>1131</v>
      </c>
      <c r="T591" s="1"/>
      <c r="U591" s="1"/>
      <c r="V591" s="2"/>
      <c r="W591" s="2"/>
      <c r="X591" s="2"/>
      <c r="Y591" s="2"/>
      <c r="Z591" s="1">
        <f ca="1">IF(Table1[[#This Row],[Inactive_Date]]="",DATEDIF(Table1[[#This Row],[Date_Acq]],TODAY(),"m"),DATEDIF(Table1[[#This Row],[Date_Acq]],Table1[[#This Row],[Inactive_Date]],"m"))</f>
        <v>43</v>
      </c>
    </row>
    <row r="592" spans="1:26" s="17" customFormat="1" hidden="1" x14ac:dyDescent="0.4">
      <c r="A592" s="6"/>
      <c r="B592" s="7" t="s">
        <v>1132</v>
      </c>
      <c r="C592" s="4">
        <v>41136</v>
      </c>
      <c r="D592" s="2" t="s">
        <v>248</v>
      </c>
      <c r="E592" s="2" t="s">
        <v>1126</v>
      </c>
      <c r="F592" s="2" t="s">
        <v>1126</v>
      </c>
      <c r="G592" s="2">
        <v>389</v>
      </c>
      <c r="H592" s="21">
        <v>57520</v>
      </c>
      <c r="I592" s="21" t="s">
        <v>13</v>
      </c>
      <c r="J592" s="2" t="s">
        <v>46</v>
      </c>
      <c r="K592" s="2" t="s">
        <v>34</v>
      </c>
      <c r="L592" s="2" t="s">
        <v>35</v>
      </c>
      <c r="M592" s="2"/>
      <c r="N592" s="2" t="s">
        <v>248</v>
      </c>
      <c r="O592" s="2"/>
      <c r="P592" s="2"/>
      <c r="Q592" s="2"/>
      <c r="R592" s="1"/>
      <c r="S592" s="2" t="s">
        <v>1094</v>
      </c>
      <c r="T592" s="1"/>
      <c r="U592" s="1"/>
      <c r="V592" s="2"/>
      <c r="W592" s="2"/>
      <c r="X592" s="2"/>
      <c r="Y592" s="2"/>
      <c r="Z592" s="1">
        <f ca="1">IF(Table1[[#This Row],[Inactive_Date]]="",DATEDIF(Table1[[#This Row],[Date_Acq]],TODAY(),"m"),DATEDIF(Table1[[#This Row],[Date_Acq]],Table1[[#This Row],[Inactive_Date]],"m"))</f>
        <v>51</v>
      </c>
    </row>
    <row r="593" spans="1:26" s="17" customFormat="1" hidden="1" x14ac:dyDescent="0.4">
      <c r="A593" s="6"/>
      <c r="B593" s="7" t="s">
        <v>1133</v>
      </c>
      <c r="C593" s="4">
        <v>41131</v>
      </c>
      <c r="D593" s="2" t="s">
        <v>306</v>
      </c>
      <c r="E593" s="2" t="s">
        <v>1134</v>
      </c>
      <c r="F593" s="2" t="s">
        <v>1134</v>
      </c>
      <c r="G593" s="2">
        <v>714</v>
      </c>
      <c r="H593" s="21"/>
      <c r="I593" s="21" t="s">
        <v>13</v>
      </c>
      <c r="J593" s="2" t="s">
        <v>46</v>
      </c>
      <c r="K593" s="2" t="s">
        <v>34</v>
      </c>
      <c r="L593" s="2" t="s">
        <v>35</v>
      </c>
      <c r="M593" s="2"/>
      <c r="N593" s="2" t="s">
        <v>306</v>
      </c>
      <c r="O593" s="2"/>
      <c r="P593" s="2" t="s">
        <v>1135</v>
      </c>
      <c r="Q593" s="2"/>
      <c r="R593" s="1"/>
      <c r="S593" s="2" t="s">
        <v>1094</v>
      </c>
      <c r="T593" s="1"/>
      <c r="U593" s="1"/>
      <c r="V593" s="2"/>
      <c r="W593" s="2"/>
      <c r="X593" s="2"/>
      <c r="Y593" s="2"/>
      <c r="Z593" s="1">
        <f ca="1">IF(Table1[[#This Row],[Inactive_Date]]="",DATEDIF(Table1[[#This Row],[Date_Acq]],TODAY(),"m"),DATEDIF(Table1[[#This Row],[Date_Acq]],Table1[[#This Row],[Inactive_Date]],"m"))</f>
        <v>51</v>
      </c>
    </row>
    <row r="594" spans="1:26" s="17" customFormat="1" x14ac:dyDescent="0.4">
      <c r="A594" s="6"/>
      <c r="B594" s="7" t="s">
        <v>1136</v>
      </c>
      <c r="C594" s="4">
        <v>41372</v>
      </c>
      <c r="D594" s="2" t="s">
        <v>306</v>
      </c>
      <c r="E594" s="2" t="s">
        <v>1115</v>
      </c>
      <c r="F594" s="2" t="s">
        <v>1115</v>
      </c>
      <c r="G594" s="2">
        <v>1497</v>
      </c>
      <c r="H594" s="21">
        <v>57520</v>
      </c>
      <c r="I594" s="21" t="s">
        <v>13</v>
      </c>
      <c r="J594" s="2" t="s">
        <v>46</v>
      </c>
      <c r="K594" s="2" t="s">
        <v>39</v>
      </c>
      <c r="L594" s="2" t="s">
        <v>35</v>
      </c>
      <c r="M594" s="2"/>
      <c r="N594" s="2" t="s">
        <v>306</v>
      </c>
      <c r="O594" s="2"/>
      <c r="P594" s="2" t="s">
        <v>1137</v>
      </c>
      <c r="Q594" s="2"/>
      <c r="R594" s="1"/>
      <c r="S594" s="2" t="s">
        <v>1138</v>
      </c>
      <c r="T594" s="1"/>
      <c r="U594" s="1"/>
      <c r="V594" s="2"/>
      <c r="W594" s="2"/>
      <c r="X594" s="2"/>
      <c r="Y594" s="2"/>
      <c r="Z594" s="1">
        <f ca="1">IF(Table1[[#This Row],[Inactive_Date]]="",DATEDIF(Table1[[#This Row],[Date_Acq]],TODAY(),"m"),DATEDIF(Table1[[#This Row],[Date_Acq]],Table1[[#This Row],[Inactive_Date]],"m"))</f>
        <v>43</v>
      </c>
    </row>
    <row r="595" spans="1:26" s="17" customFormat="1" x14ac:dyDescent="0.4">
      <c r="A595" s="6"/>
      <c r="B595" s="7" t="s">
        <v>1139</v>
      </c>
      <c r="C595" s="4">
        <v>42016</v>
      </c>
      <c r="D595" s="2" t="s">
        <v>405</v>
      </c>
      <c r="E595" s="2" t="s">
        <v>703</v>
      </c>
      <c r="F595" s="2" t="s">
        <v>703</v>
      </c>
      <c r="G595" s="2">
        <v>1839</v>
      </c>
      <c r="H595" s="21">
        <v>57520</v>
      </c>
      <c r="I595" s="21" t="s">
        <v>108</v>
      </c>
      <c r="J595" s="2" t="s">
        <v>46</v>
      </c>
      <c r="K595" s="2" t="s">
        <v>39</v>
      </c>
      <c r="L595" s="2" t="s">
        <v>35</v>
      </c>
      <c r="M595" s="2"/>
      <c r="N595" s="2" t="s">
        <v>306</v>
      </c>
      <c r="O595" s="2" t="s">
        <v>703</v>
      </c>
      <c r="P595" s="2" t="s">
        <v>1140</v>
      </c>
      <c r="Q595" s="2" t="s">
        <v>110</v>
      </c>
      <c r="R595" s="1">
        <v>3</v>
      </c>
      <c r="S595" s="2" t="s">
        <v>1141</v>
      </c>
      <c r="T595" s="1" t="s">
        <v>410</v>
      </c>
      <c r="U595" s="1"/>
      <c r="V595" s="2"/>
      <c r="W595" s="2"/>
      <c r="X595" s="2"/>
      <c r="Y595" s="2"/>
      <c r="Z595" s="1">
        <f ca="1">IF(Table1[[#This Row],[Inactive_Date]]="",DATEDIF(Table1[[#This Row],[Date_Acq]],TODAY(),"m"),DATEDIF(Table1[[#This Row],[Date_Acq]],Table1[[#This Row],[Inactive_Date]],"m"))</f>
        <v>22</v>
      </c>
    </row>
    <row r="596" spans="1:26" s="17" customFormat="1" hidden="1" x14ac:dyDescent="0.4">
      <c r="A596" s="6"/>
      <c r="B596" s="7" t="s">
        <v>1142</v>
      </c>
      <c r="C596" s="4">
        <v>42021</v>
      </c>
      <c r="D596" s="2" t="s">
        <v>981</v>
      </c>
      <c r="E596" s="2" t="s">
        <v>1143</v>
      </c>
      <c r="F596" s="2" t="s">
        <v>1143</v>
      </c>
      <c r="G596" s="2">
        <v>260.18</v>
      </c>
      <c r="H596" s="21"/>
      <c r="I596" s="21" t="s">
        <v>13</v>
      </c>
      <c r="J596" s="2" t="s">
        <v>46</v>
      </c>
      <c r="K596" s="2" t="s">
        <v>34</v>
      </c>
      <c r="L596" s="2" t="s">
        <v>35</v>
      </c>
      <c r="M596" s="2"/>
      <c r="N596" s="2" t="s">
        <v>849</v>
      </c>
      <c r="O596" s="2" t="s">
        <v>1144</v>
      </c>
      <c r="P596" s="2" t="s">
        <v>1145</v>
      </c>
      <c r="Q596" s="2" t="s">
        <v>49</v>
      </c>
      <c r="R596" s="1"/>
      <c r="S596" s="2"/>
      <c r="T596" s="1"/>
      <c r="U596" s="1"/>
      <c r="V596" s="2"/>
      <c r="W596" s="2"/>
      <c r="X596" s="2"/>
      <c r="Y596" s="2"/>
      <c r="Z596" s="1">
        <f ca="1">IF(Table1[[#This Row],[Inactive_Date]]="",DATEDIF(Table1[[#This Row],[Date_Acq]],TODAY(),"m"),DATEDIF(Table1[[#This Row],[Date_Acq]],Table1[[#This Row],[Inactive_Date]],"m"))</f>
        <v>22</v>
      </c>
    </row>
    <row r="597" spans="1:26" s="17" customFormat="1" hidden="1" x14ac:dyDescent="0.4">
      <c r="A597" s="6"/>
      <c r="B597" s="7" t="s">
        <v>1146</v>
      </c>
      <c r="C597" s="4">
        <v>41923</v>
      </c>
      <c r="D597" s="2" t="s">
        <v>452</v>
      </c>
      <c r="E597" s="2" t="s">
        <v>1147</v>
      </c>
      <c r="F597" s="2" t="s">
        <v>1147</v>
      </c>
      <c r="G597" s="2">
        <v>420</v>
      </c>
      <c r="H597" s="21">
        <v>57520</v>
      </c>
      <c r="I597" s="21" t="s">
        <v>13</v>
      </c>
      <c r="J597" s="2" t="s">
        <v>46</v>
      </c>
      <c r="K597" s="2" t="s">
        <v>34</v>
      </c>
      <c r="L597" s="2" t="s">
        <v>35</v>
      </c>
      <c r="M597" s="2"/>
      <c r="N597" s="2" t="s">
        <v>1148</v>
      </c>
      <c r="O597" s="2" t="s">
        <v>1149</v>
      </c>
      <c r="P597" s="2" t="s">
        <v>1150</v>
      </c>
      <c r="Q597" s="2" t="s">
        <v>1151</v>
      </c>
      <c r="R597" s="1"/>
      <c r="S597" s="2"/>
      <c r="T597" s="1"/>
      <c r="U597" s="1"/>
      <c r="V597" s="2"/>
      <c r="W597" s="2"/>
      <c r="X597" s="2"/>
      <c r="Y597" s="2"/>
      <c r="Z597" s="1">
        <f ca="1">IF(Table1[[#This Row],[Inactive_Date]]="",DATEDIF(Table1[[#This Row],[Date_Acq]],TODAY(),"m"),DATEDIF(Table1[[#This Row],[Date_Acq]],Table1[[#This Row],[Inactive_Date]],"m"))</f>
        <v>25</v>
      </c>
    </row>
    <row r="598" spans="1:26" s="17" customFormat="1" x14ac:dyDescent="0.4">
      <c r="A598" s="6"/>
      <c r="B598" s="7" t="s">
        <v>1152</v>
      </c>
      <c r="C598" s="2"/>
      <c r="D598" s="2"/>
      <c r="E598" s="2" t="s">
        <v>518</v>
      </c>
      <c r="F598" s="2" t="s">
        <v>518</v>
      </c>
      <c r="G598" s="2"/>
      <c r="H598" s="21"/>
      <c r="I598" s="21" t="s">
        <v>13</v>
      </c>
      <c r="J598" s="2" t="s">
        <v>46</v>
      </c>
      <c r="K598" s="2" t="s">
        <v>39</v>
      </c>
      <c r="L598" s="2" t="s">
        <v>35</v>
      </c>
      <c r="M598" s="2"/>
      <c r="N598" s="2"/>
      <c r="O598" s="2"/>
      <c r="P598" s="2" t="s">
        <v>1153</v>
      </c>
      <c r="Q598" s="2" t="s">
        <v>474</v>
      </c>
      <c r="R598" s="1"/>
      <c r="S598" s="2"/>
      <c r="T598" s="1"/>
      <c r="U598" s="1"/>
      <c r="V598" s="2"/>
      <c r="W598" s="2"/>
      <c r="X598" s="2"/>
      <c r="Y598" s="2"/>
      <c r="Z598" s="1">
        <f ca="1">IF(Table1[[#This Row],[Inactive_Date]]="",DATEDIF(Table1[[#This Row],[Date_Acq]],TODAY(),"m"),DATEDIF(Table1[[#This Row],[Date_Acq]],Table1[[#This Row],[Inactive_Date]],"m"))</f>
        <v>1402</v>
      </c>
    </row>
    <row r="599" spans="1:26" s="17" customFormat="1" x14ac:dyDescent="0.4">
      <c r="A599" s="6"/>
      <c r="B599" s="7" t="s">
        <v>1154</v>
      </c>
      <c r="C599" s="4">
        <v>41754</v>
      </c>
      <c r="D599" s="2" t="s">
        <v>1155</v>
      </c>
      <c r="E599" s="2" t="s">
        <v>1156</v>
      </c>
      <c r="F599" s="2" t="s">
        <v>1157</v>
      </c>
      <c r="G599" s="2">
        <v>4155</v>
      </c>
      <c r="H599" s="21">
        <v>57520</v>
      </c>
      <c r="I599" s="21" t="s">
        <v>13</v>
      </c>
      <c r="J599" s="2" t="s">
        <v>46</v>
      </c>
      <c r="K599" s="2" t="s">
        <v>39</v>
      </c>
      <c r="L599" s="2" t="s">
        <v>35</v>
      </c>
      <c r="M599" s="2"/>
      <c r="N599" s="2" t="s">
        <v>102</v>
      </c>
      <c r="O599" s="2" t="s">
        <v>1158</v>
      </c>
      <c r="P599" s="2" t="s">
        <v>1159</v>
      </c>
      <c r="Q599" s="2" t="s">
        <v>49</v>
      </c>
      <c r="R599" s="1">
        <v>1</v>
      </c>
      <c r="S599" s="2"/>
      <c r="T599" s="1"/>
      <c r="U599" s="1"/>
      <c r="V599" s="2"/>
      <c r="W599" s="2"/>
      <c r="X599" s="2"/>
      <c r="Y599" s="2"/>
      <c r="Z599" s="1">
        <f ca="1">IF(Table1[[#This Row],[Inactive_Date]]="",DATEDIF(Table1[[#This Row],[Date_Acq]],TODAY(),"m"),DATEDIF(Table1[[#This Row],[Date_Acq]],Table1[[#This Row],[Inactive_Date]],"m"))</f>
        <v>30</v>
      </c>
    </row>
    <row r="600" spans="1:26" s="17" customFormat="1" hidden="1" x14ac:dyDescent="0.4">
      <c r="A600" s="6"/>
      <c r="B600" s="7" t="s">
        <v>1160</v>
      </c>
      <c r="C600" s="4">
        <v>41789</v>
      </c>
      <c r="D600" s="2" t="s">
        <v>405</v>
      </c>
      <c r="E600" s="2" t="s">
        <v>406</v>
      </c>
      <c r="F600" s="2" t="s">
        <v>519</v>
      </c>
      <c r="G600" s="2">
        <v>827</v>
      </c>
      <c r="H600" s="21"/>
      <c r="I600" s="21" t="s">
        <v>108</v>
      </c>
      <c r="J600" s="2" t="s">
        <v>46</v>
      </c>
      <c r="K600" s="2" t="s">
        <v>34</v>
      </c>
      <c r="L600" s="2" t="s">
        <v>35</v>
      </c>
      <c r="M600" s="2"/>
      <c r="N600" s="2" t="s">
        <v>306</v>
      </c>
      <c r="O600" s="2" t="s">
        <v>406</v>
      </c>
      <c r="P600" s="2" t="s">
        <v>1161</v>
      </c>
      <c r="Q600" s="2" t="s">
        <v>110</v>
      </c>
      <c r="R600" s="1">
        <v>3</v>
      </c>
      <c r="S600" s="2" t="s">
        <v>1162</v>
      </c>
      <c r="T600" s="1"/>
      <c r="U600" s="3">
        <v>42890</v>
      </c>
      <c r="V600" s="2"/>
      <c r="W600" s="2"/>
      <c r="X600" s="2"/>
      <c r="Y600" s="2"/>
      <c r="Z600" s="1">
        <f ca="1">IF(Table1[[#This Row],[Inactive_Date]]="",DATEDIF(Table1[[#This Row],[Date_Acq]],TODAY(),"m"),DATEDIF(Table1[[#This Row],[Date_Acq]],Table1[[#This Row],[Inactive_Date]],"m"))</f>
        <v>29</v>
      </c>
    </row>
    <row r="601" spans="1:26" s="17" customFormat="1" x14ac:dyDescent="0.4">
      <c r="A601" s="6"/>
      <c r="B601" s="7" t="s">
        <v>1163</v>
      </c>
      <c r="C601" s="4">
        <v>42165</v>
      </c>
      <c r="D601" s="2" t="s">
        <v>454</v>
      </c>
      <c r="E601" s="2" t="s">
        <v>1164</v>
      </c>
      <c r="F601" s="2" t="s">
        <v>977</v>
      </c>
      <c r="G601" s="2"/>
      <c r="H601" s="21"/>
      <c r="I601" s="21" t="s">
        <v>108</v>
      </c>
      <c r="J601" s="2" t="s">
        <v>46</v>
      </c>
      <c r="K601" s="2" t="s">
        <v>39</v>
      </c>
      <c r="L601" s="2" t="s">
        <v>35</v>
      </c>
      <c r="M601" s="2"/>
      <c r="N601" s="2" t="s">
        <v>454</v>
      </c>
      <c r="O601" s="2" t="s">
        <v>1165</v>
      </c>
      <c r="P601" s="2" t="s">
        <v>983</v>
      </c>
      <c r="Q601" s="2" t="s">
        <v>942</v>
      </c>
      <c r="R601" s="1">
        <v>5</v>
      </c>
      <c r="S601" s="2" t="s">
        <v>1166</v>
      </c>
      <c r="T601" s="1" t="s">
        <v>410</v>
      </c>
      <c r="U601" s="3">
        <v>42165</v>
      </c>
      <c r="V601" s="2"/>
      <c r="W601" s="2"/>
      <c r="X601" s="2"/>
      <c r="Y601" s="2"/>
      <c r="Z601" s="1">
        <f ca="1">IF(Table1[[#This Row],[Inactive_Date]]="",DATEDIF(Table1[[#This Row],[Date_Acq]],TODAY(),"m"),DATEDIF(Table1[[#This Row],[Date_Acq]],Table1[[#This Row],[Inactive_Date]],"m"))</f>
        <v>17</v>
      </c>
    </row>
    <row r="602" spans="1:26" s="17" customFormat="1" x14ac:dyDescent="0.4">
      <c r="A602" s="6"/>
      <c r="B602" s="7" t="s">
        <v>1167</v>
      </c>
      <c r="C602" s="4">
        <v>42165</v>
      </c>
      <c r="D602" s="2" t="s">
        <v>454</v>
      </c>
      <c r="E602" s="2" t="s">
        <v>1164</v>
      </c>
      <c r="F602" s="2" t="s">
        <v>977</v>
      </c>
      <c r="G602" s="2"/>
      <c r="H602" s="21"/>
      <c r="I602" s="21" t="s">
        <v>108</v>
      </c>
      <c r="J602" s="2" t="s">
        <v>46</v>
      </c>
      <c r="K602" s="2" t="s">
        <v>39</v>
      </c>
      <c r="L602" s="2" t="s">
        <v>35</v>
      </c>
      <c r="M602" s="2"/>
      <c r="N602" s="2" t="s">
        <v>454</v>
      </c>
      <c r="O602" s="2" t="s">
        <v>1168</v>
      </c>
      <c r="P602" s="2" t="s">
        <v>1169</v>
      </c>
      <c r="Q602" s="2" t="s">
        <v>942</v>
      </c>
      <c r="R602" s="1">
        <v>5</v>
      </c>
      <c r="S602" s="2" t="s">
        <v>1170</v>
      </c>
      <c r="T602" s="1" t="s">
        <v>410</v>
      </c>
      <c r="U602" s="3">
        <v>42165</v>
      </c>
      <c r="V602" s="2"/>
      <c r="W602" s="2"/>
      <c r="X602" s="2"/>
      <c r="Y602" s="2"/>
      <c r="Z602" s="1">
        <f ca="1">IF(Table1[[#This Row],[Inactive_Date]]="",DATEDIF(Table1[[#This Row],[Date_Acq]],TODAY(),"m"),DATEDIF(Table1[[#This Row],[Date_Acq]],Table1[[#This Row],[Inactive_Date]],"m"))</f>
        <v>17</v>
      </c>
    </row>
    <row r="603" spans="1:26" s="17" customFormat="1" hidden="1" x14ac:dyDescent="0.4">
      <c r="A603" s="6"/>
      <c r="B603" s="7" t="s">
        <v>1171</v>
      </c>
      <c r="C603" s="4">
        <v>41923</v>
      </c>
      <c r="D603" s="2" t="s">
        <v>1172</v>
      </c>
      <c r="E603" s="2" t="s">
        <v>1147</v>
      </c>
      <c r="F603" s="2" t="s">
        <v>1147</v>
      </c>
      <c r="G603" s="2">
        <v>420</v>
      </c>
      <c r="H603" s="21">
        <v>57520</v>
      </c>
      <c r="I603" s="21" t="s">
        <v>108</v>
      </c>
      <c r="J603" s="2" t="s">
        <v>46</v>
      </c>
      <c r="K603" s="2" t="s">
        <v>34</v>
      </c>
      <c r="L603" s="2" t="s">
        <v>35</v>
      </c>
      <c r="M603" s="2"/>
      <c r="N603" s="2" t="s">
        <v>1173</v>
      </c>
      <c r="O603" s="2" t="s">
        <v>1174</v>
      </c>
      <c r="P603" s="2" t="s">
        <v>1175</v>
      </c>
      <c r="Q603" s="2" t="s">
        <v>942</v>
      </c>
      <c r="R603" s="1">
        <v>3</v>
      </c>
      <c r="S603" s="2" t="s">
        <v>1176</v>
      </c>
      <c r="T603" s="1" t="s">
        <v>410</v>
      </c>
      <c r="U603" s="3">
        <v>42165</v>
      </c>
      <c r="V603" s="2"/>
      <c r="W603" s="2"/>
      <c r="X603" s="2"/>
      <c r="Y603" s="2"/>
      <c r="Z603" s="1">
        <f ca="1">IF(Table1[[#This Row],[Inactive_Date]]="",DATEDIF(Table1[[#This Row],[Date_Acq]],TODAY(),"m"),DATEDIF(Table1[[#This Row],[Date_Acq]],Table1[[#This Row],[Inactive_Date]],"m"))</f>
        <v>25</v>
      </c>
    </row>
    <row r="604" spans="1:26" s="17" customFormat="1" hidden="1" x14ac:dyDescent="0.4">
      <c r="A604" s="6"/>
      <c r="B604" s="7" t="s">
        <v>1177</v>
      </c>
      <c r="C604" s="4">
        <v>41457</v>
      </c>
      <c r="D604" s="2" t="s">
        <v>306</v>
      </c>
      <c r="E604" s="2" t="s">
        <v>1178</v>
      </c>
      <c r="F604" s="2" t="s">
        <v>1178</v>
      </c>
      <c r="G604" s="2">
        <v>899</v>
      </c>
      <c r="H604" s="21"/>
      <c r="I604" s="21" t="s">
        <v>13</v>
      </c>
      <c r="J604" s="2" t="s">
        <v>46</v>
      </c>
      <c r="K604" s="2" t="s">
        <v>34</v>
      </c>
      <c r="L604" s="2" t="s">
        <v>35</v>
      </c>
      <c r="M604" s="2"/>
      <c r="N604" s="2" t="s">
        <v>306</v>
      </c>
      <c r="O604" s="2" t="s">
        <v>1179</v>
      </c>
      <c r="P604" s="2" t="s">
        <v>1180</v>
      </c>
      <c r="Q604" s="2" t="s">
        <v>942</v>
      </c>
      <c r="R604" s="1">
        <v>5</v>
      </c>
      <c r="S604" s="2"/>
      <c r="T604" s="1" t="s">
        <v>706</v>
      </c>
      <c r="U604" s="1"/>
      <c r="V604" s="2"/>
      <c r="W604" s="2"/>
      <c r="X604" s="2"/>
      <c r="Y604" s="2"/>
      <c r="Z604" s="1">
        <f ca="1">IF(Table1[[#This Row],[Inactive_Date]]="",DATEDIF(Table1[[#This Row],[Date_Acq]],TODAY(),"m"),DATEDIF(Table1[[#This Row],[Date_Acq]],Table1[[#This Row],[Inactive_Date]],"m"))</f>
        <v>40</v>
      </c>
    </row>
    <row r="605" spans="1:26" s="17" customFormat="1" x14ac:dyDescent="0.4">
      <c r="A605" s="6"/>
      <c r="B605" s="7" t="s">
        <v>1181</v>
      </c>
      <c r="C605" s="2"/>
      <c r="D605" s="2" t="s">
        <v>975</v>
      </c>
      <c r="E605" s="2" t="s">
        <v>1182</v>
      </c>
      <c r="F605" s="2" t="s">
        <v>977</v>
      </c>
      <c r="G605" s="2"/>
      <c r="H605" s="21"/>
      <c r="I605" s="21" t="s">
        <v>108</v>
      </c>
      <c r="J605" s="2" t="s">
        <v>46</v>
      </c>
      <c r="K605" s="2" t="s">
        <v>39</v>
      </c>
      <c r="L605" s="2" t="s">
        <v>35</v>
      </c>
      <c r="M605" s="2"/>
      <c r="N605" s="2" t="s">
        <v>975</v>
      </c>
      <c r="O605" s="2" t="s">
        <v>1183</v>
      </c>
      <c r="P605" s="2" t="s">
        <v>1184</v>
      </c>
      <c r="Q605" s="2" t="s">
        <v>942</v>
      </c>
      <c r="R605" s="1">
        <v>5</v>
      </c>
      <c r="S605" s="2" t="s">
        <v>1185</v>
      </c>
      <c r="T605" s="1" t="s">
        <v>410</v>
      </c>
      <c r="U605" s="3">
        <v>42165</v>
      </c>
      <c r="V605" s="2"/>
      <c r="W605" s="2"/>
      <c r="X605" s="2"/>
      <c r="Y605" s="2"/>
      <c r="Z605" s="1">
        <f ca="1">IF(Table1[[#This Row],[Inactive_Date]]="",DATEDIF(Table1[[#This Row],[Date_Acq]],TODAY(),"m"),DATEDIF(Table1[[#This Row],[Date_Acq]],Table1[[#This Row],[Inactive_Date]],"m"))</f>
        <v>1402</v>
      </c>
    </row>
    <row r="606" spans="1:26" s="17" customFormat="1" x14ac:dyDescent="0.4">
      <c r="A606" s="6"/>
      <c r="B606" s="7" t="s">
        <v>1186</v>
      </c>
      <c r="C606" s="2"/>
      <c r="D606" s="2" t="s">
        <v>975</v>
      </c>
      <c r="E606" s="2" t="s">
        <v>976</v>
      </c>
      <c r="F606" s="2" t="s">
        <v>977</v>
      </c>
      <c r="G606" s="2"/>
      <c r="H606" s="21"/>
      <c r="I606" s="21" t="s">
        <v>108</v>
      </c>
      <c r="J606" s="2" t="s">
        <v>46</v>
      </c>
      <c r="K606" s="2" t="s">
        <v>39</v>
      </c>
      <c r="L606" s="2" t="s">
        <v>35</v>
      </c>
      <c r="M606" s="2"/>
      <c r="N606" s="2" t="s">
        <v>975</v>
      </c>
      <c r="O606" s="2" t="s">
        <v>1187</v>
      </c>
      <c r="P606" s="2" t="s">
        <v>1188</v>
      </c>
      <c r="Q606" s="2" t="s">
        <v>942</v>
      </c>
      <c r="R606" s="1">
        <v>5</v>
      </c>
      <c r="S606" s="2" t="s">
        <v>1189</v>
      </c>
      <c r="T606" s="1" t="s">
        <v>410</v>
      </c>
      <c r="U606" s="3">
        <v>42165</v>
      </c>
      <c r="V606" s="2"/>
      <c r="W606" s="2"/>
      <c r="X606" s="2"/>
      <c r="Y606" s="2"/>
      <c r="Z606" s="1">
        <f ca="1">IF(Table1[[#This Row],[Inactive_Date]]="",DATEDIF(Table1[[#This Row],[Date_Acq]],TODAY(),"m"),DATEDIF(Table1[[#This Row],[Date_Acq]],Table1[[#This Row],[Inactive_Date]],"m"))</f>
        <v>1402</v>
      </c>
    </row>
    <row r="607" spans="1:26" s="17" customFormat="1" x14ac:dyDescent="0.4">
      <c r="A607" s="6"/>
      <c r="B607" s="7" t="s">
        <v>1190</v>
      </c>
      <c r="C607" s="2"/>
      <c r="D607" s="2" t="s">
        <v>975</v>
      </c>
      <c r="E607" s="2" t="s">
        <v>976</v>
      </c>
      <c r="F607" s="2" t="s">
        <v>977</v>
      </c>
      <c r="G607" s="2"/>
      <c r="H607" s="21"/>
      <c r="I607" s="21" t="s">
        <v>108</v>
      </c>
      <c r="J607" s="2" t="s">
        <v>46</v>
      </c>
      <c r="K607" s="2" t="s">
        <v>39</v>
      </c>
      <c r="L607" s="2" t="s">
        <v>35</v>
      </c>
      <c r="M607" s="2"/>
      <c r="N607" s="2" t="s">
        <v>975</v>
      </c>
      <c r="O607" s="2" t="s">
        <v>1191</v>
      </c>
      <c r="P607" s="2" t="s">
        <v>986</v>
      </c>
      <c r="Q607" s="2" t="s">
        <v>942</v>
      </c>
      <c r="R607" s="1">
        <v>5</v>
      </c>
      <c r="S607" s="2" t="s">
        <v>1192</v>
      </c>
      <c r="T607" s="1" t="s">
        <v>410</v>
      </c>
      <c r="U607" s="3">
        <v>42165</v>
      </c>
      <c r="V607" s="2"/>
      <c r="W607" s="2"/>
      <c r="X607" s="2"/>
      <c r="Y607" s="2"/>
      <c r="Z607" s="1">
        <f ca="1">IF(Table1[[#This Row],[Inactive_Date]]="",DATEDIF(Table1[[#This Row],[Date_Acq]],TODAY(),"m"),DATEDIF(Table1[[#This Row],[Date_Acq]],Table1[[#This Row],[Inactive_Date]],"m"))</f>
        <v>1402</v>
      </c>
    </row>
    <row r="608" spans="1:26" s="17" customFormat="1" hidden="1" x14ac:dyDescent="0.4">
      <c r="A608" s="6"/>
      <c r="B608" s="7" t="s">
        <v>1193</v>
      </c>
      <c r="C608" s="2"/>
      <c r="D608" s="2"/>
      <c r="E608" s="2" t="s">
        <v>814</v>
      </c>
      <c r="F608" s="2"/>
      <c r="G608" s="2">
        <v>312</v>
      </c>
      <c r="H608" s="21">
        <v>57520</v>
      </c>
      <c r="I608" s="21" t="s">
        <v>13</v>
      </c>
      <c r="J608" s="2" t="s">
        <v>46</v>
      </c>
      <c r="K608" s="2" t="s">
        <v>34</v>
      </c>
      <c r="L608" s="2" t="s">
        <v>35</v>
      </c>
      <c r="M608" s="2"/>
      <c r="N608" s="2" t="s">
        <v>815</v>
      </c>
      <c r="O608" s="2" t="s">
        <v>816</v>
      </c>
      <c r="P608" s="2" t="s">
        <v>1194</v>
      </c>
      <c r="Q608" s="2" t="s">
        <v>49</v>
      </c>
      <c r="R608" s="1">
        <v>1</v>
      </c>
      <c r="S608" s="2" t="s">
        <v>1195</v>
      </c>
      <c r="T608" s="1"/>
      <c r="U608" s="1"/>
      <c r="V608" s="2"/>
      <c r="W608" s="2"/>
      <c r="X608" s="2"/>
      <c r="Y608" s="2"/>
      <c r="Z608" s="1">
        <f ca="1">IF(Table1[[#This Row],[Inactive_Date]]="",DATEDIF(Table1[[#This Row],[Date_Acq]],TODAY(),"m"),DATEDIF(Table1[[#This Row],[Date_Acq]],Table1[[#This Row],[Inactive_Date]],"m"))</f>
        <v>1402</v>
      </c>
    </row>
    <row r="609" spans="1:26" s="17" customFormat="1" x14ac:dyDescent="0.4">
      <c r="A609" s="6"/>
      <c r="B609" s="7" t="s">
        <v>1196</v>
      </c>
      <c r="C609" s="4">
        <v>41943</v>
      </c>
      <c r="D609" s="2" t="s">
        <v>1197</v>
      </c>
      <c r="E609" s="2" t="s">
        <v>1198</v>
      </c>
      <c r="F609" s="2" t="s">
        <v>1199</v>
      </c>
      <c r="G609" s="2">
        <v>2995</v>
      </c>
      <c r="H609" s="21">
        <v>57520</v>
      </c>
      <c r="I609" s="21" t="s">
        <v>13</v>
      </c>
      <c r="J609" s="2" t="s">
        <v>46</v>
      </c>
      <c r="K609" s="2" t="s">
        <v>39</v>
      </c>
      <c r="L609" s="2" t="s">
        <v>35</v>
      </c>
      <c r="M609" s="2"/>
      <c r="N609" s="2" t="s">
        <v>849</v>
      </c>
      <c r="O609" s="2" t="s">
        <v>1200</v>
      </c>
      <c r="P609" s="2" t="s">
        <v>1201</v>
      </c>
      <c r="Q609" s="2" t="s">
        <v>49</v>
      </c>
      <c r="R609" s="1">
        <v>5</v>
      </c>
      <c r="S609" s="2"/>
      <c r="T609" s="1"/>
      <c r="U609" s="1"/>
      <c r="V609" s="2"/>
      <c r="W609" s="2"/>
      <c r="X609" s="2"/>
      <c r="Y609" s="2"/>
      <c r="Z609" s="1">
        <f ca="1">IF(Table1[[#This Row],[Inactive_Date]]="",DATEDIF(Table1[[#This Row],[Date_Acq]],TODAY(),"m"),DATEDIF(Table1[[#This Row],[Date_Acq]],Table1[[#This Row],[Inactive_Date]],"m"))</f>
        <v>24</v>
      </c>
    </row>
    <row r="610" spans="1:26" s="17" customFormat="1" hidden="1" x14ac:dyDescent="0.4">
      <c r="A610" s="6"/>
      <c r="B610" s="7" t="s">
        <v>1202</v>
      </c>
      <c r="C610" s="2"/>
      <c r="D610" s="2"/>
      <c r="E610" s="2" t="s">
        <v>1203</v>
      </c>
      <c r="F610" s="2" t="s">
        <v>1204</v>
      </c>
      <c r="G610" s="2"/>
      <c r="H610" s="21"/>
      <c r="I610" s="21" t="s">
        <v>13</v>
      </c>
      <c r="J610" s="2" t="s">
        <v>46</v>
      </c>
      <c r="K610" s="2" t="s">
        <v>34</v>
      </c>
      <c r="L610" s="2" t="s">
        <v>35</v>
      </c>
      <c r="M610" s="2"/>
      <c r="N610" s="2" t="s">
        <v>849</v>
      </c>
      <c r="O610" s="2" t="s">
        <v>1205</v>
      </c>
      <c r="P610" s="2"/>
      <c r="Q610" s="2" t="s">
        <v>49</v>
      </c>
      <c r="R610" s="1"/>
      <c r="S610" s="2"/>
      <c r="T610" s="1"/>
      <c r="U610" s="1"/>
      <c r="V610" s="2"/>
      <c r="W610" s="2"/>
      <c r="X610" s="2"/>
      <c r="Y610" s="2"/>
      <c r="Z610" s="1">
        <f ca="1">IF(Table1[[#This Row],[Inactive_Date]]="",DATEDIF(Table1[[#This Row],[Date_Acq]],TODAY(),"m"),DATEDIF(Table1[[#This Row],[Date_Acq]],Table1[[#This Row],[Inactive_Date]],"m"))</f>
        <v>1402</v>
      </c>
    </row>
    <row r="611" spans="1:26" s="17" customFormat="1" hidden="1" x14ac:dyDescent="0.4">
      <c r="A611" s="6"/>
      <c r="B611" s="7" t="s">
        <v>1206</v>
      </c>
      <c r="C611" s="4">
        <v>41920</v>
      </c>
      <c r="D611" s="2" t="s">
        <v>452</v>
      </c>
      <c r="E611" s="2" t="s">
        <v>1143</v>
      </c>
      <c r="F611" s="2" t="s">
        <v>1204</v>
      </c>
      <c r="G611" s="2">
        <v>250</v>
      </c>
      <c r="H611" s="21"/>
      <c r="I611" s="21" t="s">
        <v>13</v>
      </c>
      <c r="J611" s="2" t="s">
        <v>46</v>
      </c>
      <c r="K611" s="2" t="s">
        <v>34</v>
      </c>
      <c r="L611" s="2" t="s">
        <v>35</v>
      </c>
      <c r="M611" s="2"/>
      <c r="N611" s="2" t="s">
        <v>1207</v>
      </c>
      <c r="O611" s="2" t="s">
        <v>1208</v>
      </c>
      <c r="P611" s="2" t="s">
        <v>1209</v>
      </c>
      <c r="Q611" s="2" t="s">
        <v>49</v>
      </c>
      <c r="R611" s="1">
        <v>1</v>
      </c>
      <c r="S611" s="2"/>
      <c r="T611" s="1"/>
      <c r="U611" s="1"/>
      <c r="V611" s="2"/>
      <c r="W611" s="2"/>
      <c r="X611" s="2"/>
      <c r="Y611" s="2"/>
      <c r="Z611" s="1">
        <f ca="1">IF(Table1[[#This Row],[Inactive_Date]]="",DATEDIF(Table1[[#This Row],[Date_Acq]],TODAY(),"m"),DATEDIF(Table1[[#This Row],[Date_Acq]],Table1[[#This Row],[Inactive_Date]],"m"))</f>
        <v>25</v>
      </c>
    </row>
    <row r="612" spans="1:26" s="17" customFormat="1" hidden="1" x14ac:dyDescent="0.4">
      <c r="A612" s="6"/>
      <c r="B612" s="7" t="s">
        <v>1210</v>
      </c>
      <c r="C612" s="4">
        <v>41920</v>
      </c>
      <c r="D612" s="2" t="s">
        <v>452</v>
      </c>
      <c r="E612" s="2" t="s">
        <v>1143</v>
      </c>
      <c r="F612" s="2" t="s">
        <v>1204</v>
      </c>
      <c r="G612" s="2">
        <v>250</v>
      </c>
      <c r="H612" s="21"/>
      <c r="I612" s="21" t="s">
        <v>13</v>
      </c>
      <c r="J612" s="2" t="s">
        <v>46</v>
      </c>
      <c r="K612" s="2" t="s">
        <v>34</v>
      </c>
      <c r="L612" s="2" t="s">
        <v>35</v>
      </c>
      <c r="M612" s="2"/>
      <c r="N612" s="2" t="s">
        <v>849</v>
      </c>
      <c r="O612" s="2" t="s">
        <v>1208</v>
      </c>
      <c r="P612" s="2" t="s">
        <v>1211</v>
      </c>
      <c r="Q612" s="2" t="s">
        <v>49</v>
      </c>
      <c r="R612" s="1">
        <v>1</v>
      </c>
      <c r="S612" s="2"/>
      <c r="T612" s="1"/>
      <c r="U612" s="1"/>
      <c r="V612" s="2"/>
      <c r="W612" s="2"/>
      <c r="X612" s="2"/>
      <c r="Y612" s="2"/>
      <c r="Z612" s="1">
        <f ca="1">IF(Table1[[#This Row],[Inactive_Date]]="",DATEDIF(Table1[[#This Row],[Date_Acq]],TODAY(),"m"),DATEDIF(Table1[[#This Row],[Date_Acq]],Table1[[#This Row],[Inactive_Date]],"m"))</f>
        <v>25</v>
      </c>
    </row>
    <row r="613" spans="1:26" s="17" customFormat="1" hidden="1" x14ac:dyDescent="0.4">
      <c r="A613" s="6"/>
      <c r="B613" s="7" t="s">
        <v>1212</v>
      </c>
      <c r="C613" s="2"/>
      <c r="D613" s="2"/>
      <c r="E613" s="2" t="s">
        <v>1203</v>
      </c>
      <c r="F613" s="2" t="s">
        <v>1204</v>
      </c>
      <c r="G613" s="2"/>
      <c r="H613" s="21"/>
      <c r="I613" s="21" t="s">
        <v>13</v>
      </c>
      <c r="J613" s="2" t="s">
        <v>46</v>
      </c>
      <c r="K613" s="2" t="s">
        <v>34</v>
      </c>
      <c r="L613" s="2" t="s">
        <v>35</v>
      </c>
      <c r="M613" s="2"/>
      <c r="N613" s="2" t="s">
        <v>849</v>
      </c>
      <c r="O613" s="2" t="s">
        <v>1205</v>
      </c>
      <c r="P613" s="2"/>
      <c r="Q613" s="2" t="s">
        <v>49</v>
      </c>
      <c r="R613" s="1"/>
      <c r="S613" s="2"/>
      <c r="T613" s="1"/>
      <c r="U613" s="1"/>
      <c r="V613" s="2"/>
      <c r="W613" s="2"/>
      <c r="X613" s="2"/>
      <c r="Y613" s="2"/>
      <c r="Z613" s="1">
        <f ca="1">IF(Table1[[#This Row],[Inactive_Date]]="",DATEDIF(Table1[[#This Row],[Date_Acq]],TODAY(),"m"),DATEDIF(Table1[[#This Row],[Date_Acq]],Table1[[#This Row],[Inactive_Date]],"m"))</f>
        <v>1402</v>
      </c>
    </row>
    <row r="614" spans="1:26" s="17" customFormat="1" hidden="1" x14ac:dyDescent="0.4">
      <c r="A614" s="6"/>
      <c r="B614" s="7" t="s">
        <v>1213</v>
      </c>
      <c r="C614" s="2"/>
      <c r="D614" s="2"/>
      <c r="E614" s="2" t="s">
        <v>1214</v>
      </c>
      <c r="F614" s="2" t="s">
        <v>1143</v>
      </c>
      <c r="G614" s="2"/>
      <c r="H614" s="21"/>
      <c r="I614" s="21" t="s">
        <v>13</v>
      </c>
      <c r="J614" s="2" t="s">
        <v>46</v>
      </c>
      <c r="K614" s="2" t="s">
        <v>34</v>
      </c>
      <c r="L614" s="2" t="s">
        <v>35</v>
      </c>
      <c r="M614" s="2"/>
      <c r="N614" s="2" t="s">
        <v>849</v>
      </c>
      <c r="O614" s="2" t="s">
        <v>1205</v>
      </c>
      <c r="P614" s="2" t="s">
        <v>1215</v>
      </c>
      <c r="Q614" s="2" t="s">
        <v>49</v>
      </c>
      <c r="R614" s="1">
        <v>5</v>
      </c>
      <c r="S614" s="2"/>
      <c r="T614" s="1" t="s">
        <v>410</v>
      </c>
      <c r="U614" s="1"/>
      <c r="V614" s="2"/>
      <c r="W614" s="2"/>
      <c r="X614" s="2"/>
      <c r="Y614" s="2"/>
      <c r="Z614" s="1">
        <f ca="1">IF(Table1[[#This Row],[Inactive_Date]]="",DATEDIF(Table1[[#This Row],[Date_Acq]],TODAY(),"m"),DATEDIF(Table1[[#This Row],[Date_Acq]],Table1[[#This Row],[Inactive_Date]],"m"))</f>
        <v>1402</v>
      </c>
    </row>
    <row r="615" spans="1:26" s="17" customFormat="1" x14ac:dyDescent="0.4">
      <c r="A615" s="6"/>
      <c r="B615" s="7" t="s">
        <v>1216</v>
      </c>
      <c r="C615" s="4">
        <v>41943</v>
      </c>
      <c r="D615" s="2" t="s">
        <v>1197</v>
      </c>
      <c r="E615" s="2" t="s">
        <v>1199</v>
      </c>
      <c r="F615" s="2" t="s">
        <v>1199</v>
      </c>
      <c r="G615" s="2">
        <v>2995</v>
      </c>
      <c r="H615" s="21">
        <v>57520</v>
      </c>
      <c r="I615" s="21" t="s">
        <v>13</v>
      </c>
      <c r="J615" s="2" t="s">
        <v>46</v>
      </c>
      <c r="K615" s="2" t="s">
        <v>39</v>
      </c>
      <c r="L615" s="2" t="s">
        <v>35</v>
      </c>
      <c r="M615" s="2"/>
      <c r="N615" s="2" t="s">
        <v>849</v>
      </c>
      <c r="O615" s="2" t="s">
        <v>1200</v>
      </c>
      <c r="P615" s="2" t="s">
        <v>1217</v>
      </c>
      <c r="Q615" s="2" t="s">
        <v>49</v>
      </c>
      <c r="R615" s="1">
        <v>5</v>
      </c>
      <c r="S615" s="2"/>
      <c r="T615" s="1"/>
      <c r="U615" s="1"/>
      <c r="V615" s="2"/>
      <c r="W615" s="2"/>
      <c r="X615" s="2"/>
      <c r="Y615" s="2"/>
      <c r="Z615" s="1">
        <f ca="1">IF(Table1[[#This Row],[Inactive_Date]]="",DATEDIF(Table1[[#This Row],[Date_Acq]],TODAY(),"m"),DATEDIF(Table1[[#This Row],[Date_Acq]],Table1[[#This Row],[Inactive_Date]],"m"))</f>
        <v>24</v>
      </c>
    </row>
    <row r="616" spans="1:26" s="17" customFormat="1" x14ac:dyDescent="0.4">
      <c r="A616" s="6"/>
      <c r="B616" s="7" t="s">
        <v>1218</v>
      </c>
      <c r="C616" s="4">
        <v>39163</v>
      </c>
      <c r="D616" s="2" t="s">
        <v>1219</v>
      </c>
      <c r="E616" s="2" t="s">
        <v>1220</v>
      </c>
      <c r="F616" s="2" t="s">
        <v>1220</v>
      </c>
      <c r="G616" s="2">
        <v>1296.8499999999999</v>
      </c>
      <c r="H616" s="21">
        <v>5643</v>
      </c>
      <c r="I616" s="21" t="s">
        <v>13</v>
      </c>
      <c r="J616" s="2" t="s">
        <v>46</v>
      </c>
      <c r="K616" s="2" t="s">
        <v>39</v>
      </c>
      <c r="L616" s="2" t="s">
        <v>35</v>
      </c>
      <c r="M616" s="2"/>
      <c r="N616" s="2" t="s">
        <v>1219</v>
      </c>
      <c r="O616" s="2"/>
      <c r="P616" s="2"/>
      <c r="Q616" s="2"/>
      <c r="R616" s="1"/>
      <c r="S616" s="2" t="s">
        <v>1221</v>
      </c>
      <c r="T616" s="1"/>
      <c r="U616" s="1"/>
      <c r="V616" s="2"/>
      <c r="W616" s="2"/>
      <c r="X616" s="2"/>
      <c r="Y616" s="2"/>
      <c r="Z616" s="1">
        <f ca="1">IF(Table1[[#This Row],[Inactive_Date]]="",DATEDIF(Table1[[#This Row],[Date_Acq]],TODAY(),"m"),DATEDIF(Table1[[#This Row],[Date_Acq]],Table1[[#This Row],[Inactive_Date]],"m"))</f>
        <v>116</v>
      </c>
    </row>
    <row r="617" spans="1:26" s="17" customFormat="1" x14ac:dyDescent="0.4">
      <c r="A617" s="6"/>
      <c r="B617" s="7" t="s">
        <v>1222</v>
      </c>
      <c r="C617" s="4">
        <v>39163</v>
      </c>
      <c r="D617" s="2" t="s">
        <v>1219</v>
      </c>
      <c r="E617" s="2" t="s">
        <v>1220</v>
      </c>
      <c r="F617" s="2" t="s">
        <v>1220</v>
      </c>
      <c r="G617" s="2">
        <v>1296.8499999999999</v>
      </c>
      <c r="H617" s="21">
        <v>5643</v>
      </c>
      <c r="I617" s="21" t="s">
        <v>13</v>
      </c>
      <c r="J617" s="2" t="s">
        <v>46</v>
      </c>
      <c r="K617" s="2" t="s">
        <v>39</v>
      </c>
      <c r="L617" s="2" t="s">
        <v>35</v>
      </c>
      <c r="M617" s="2"/>
      <c r="N617" s="2" t="s">
        <v>1219</v>
      </c>
      <c r="O617" s="2"/>
      <c r="P617" s="2"/>
      <c r="Q617" s="2"/>
      <c r="R617" s="1"/>
      <c r="S617" s="2" t="s">
        <v>1221</v>
      </c>
      <c r="T617" s="1"/>
      <c r="U617" s="1"/>
      <c r="V617" s="2"/>
      <c r="W617" s="2"/>
      <c r="X617" s="2"/>
      <c r="Y617" s="2"/>
      <c r="Z617" s="1">
        <f ca="1">IF(Table1[[#This Row],[Inactive_Date]]="",DATEDIF(Table1[[#This Row],[Date_Acq]],TODAY(),"m"),DATEDIF(Table1[[#This Row],[Date_Acq]],Table1[[#This Row],[Inactive_Date]],"m"))</f>
        <v>116</v>
      </c>
    </row>
    <row r="618" spans="1:26" s="17" customFormat="1" x14ac:dyDescent="0.4">
      <c r="A618" s="6"/>
      <c r="B618" s="7" t="s">
        <v>1223</v>
      </c>
      <c r="C618" s="4">
        <v>39692</v>
      </c>
      <c r="D618" s="2" t="s">
        <v>1224</v>
      </c>
      <c r="E618" s="2" t="s">
        <v>1225</v>
      </c>
      <c r="F618" s="2" t="s">
        <v>1226</v>
      </c>
      <c r="G618" s="2"/>
      <c r="H618" s="21"/>
      <c r="I618" s="21" t="s">
        <v>13</v>
      </c>
      <c r="J618" s="2" t="s">
        <v>46</v>
      </c>
      <c r="K618" s="2" t="s">
        <v>39</v>
      </c>
      <c r="L618" s="2" t="s">
        <v>35</v>
      </c>
      <c r="M618" s="2"/>
      <c r="N618" s="2" t="s">
        <v>835</v>
      </c>
      <c r="O618" s="2" t="s">
        <v>1227</v>
      </c>
      <c r="P618" s="2" t="s">
        <v>1228</v>
      </c>
      <c r="Q618" s="2" t="s">
        <v>49</v>
      </c>
      <c r="R618" s="1"/>
      <c r="S618" s="2"/>
      <c r="T618" s="1"/>
      <c r="U618" s="1"/>
      <c r="V618" s="2"/>
      <c r="W618" s="2"/>
      <c r="X618" s="2"/>
      <c r="Y618" s="2"/>
      <c r="Z618" s="1">
        <f ca="1">IF(Table1[[#This Row],[Inactive_Date]]="",DATEDIF(Table1[[#This Row],[Date_Acq]],TODAY(),"m"),DATEDIF(Table1[[#This Row],[Date_Acq]],Table1[[#This Row],[Inactive_Date]],"m"))</f>
        <v>98</v>
      </c>
    </row>
    <row r="619" spans="1:26" s="17" customFormat="1" x14ac:dyDescent="0.4">
      <c r="A619" s="6"/>
      <c r="B619" s="7" t="s">
        <v>1229</v>
      </c>
      <c r="C619" s="2"/>
      <c r="D619" s="2"/>
      <c r="E619" s="2" t="s">
        <v>1230</v>
      </c>
      <c r="F619" s="2" t="s">
        <v>1230</v>
      </c>
      <c r="G619" s="2"/>
      <c r="H619" s="21"/>
      <c r="I619" s="21" t="s">
        <v>13</v>
      </c>
      <c r="J619" s="2" t="s">
        <v>46</v>
      </c>
      <c r="K619" s="2"/>
      <c r="L619" s="2" t="s">
        <v>35</v>
      </c>
      <c r="M619" s="2"/>
      <c r="N619" s="2" t="s">
        <v>1231</v>
      </c>
      <c r="O619" s="2" t="s">
        <v>1232</v>
      </c>
      <c r="P619" s="2"/>
      <c r="Q619" s="2" t="s">
        <v>49</v>
      </c>
      <c r="R619" s="1"/>
      <c r="S619" s="2"/>
      <c r="T619" s="1"/>
      <c r="U619" s="1"/>
      <c r="V619" s="2"/>
      <c r="W619" s="2"/>
      <c r="X619" s="2"/>
      <c r="Y619" s="2"/>
      <c r="Z619" s="1">
        <f ca="1">IF(Table1[[#This Row],[Inactive_Date]]="",DATEDIF(Table1[[#This Row],[Date_Acq]],TODAY(),"m"),DATEDIF(Table1[[#This Row],[Date_Acq]],Table1[[#This Row],[Inactive_Date]],"m"))</f>
        <v>1402</v>
      </c>
    </row>
    <row r="620" spans="1:26" s="17" customFormat="1" x14ac:dyDescent="0.4">
      <c r="A620" s="6"/>
      <c r="B620" s="7" t="s">
        <v>1233</v>
      </c>
      <c r="C620" s="4">
        <v>41366</v>
      </c>
      <c r="D620" s="2" t="s">
        <v>1234</v>
      </c>
      <c r="E620" s="2" t="s">
        <v>1235</v>
      </c>
      <c r="F620" s="2" t="s">
        <v>1236</v>
      </c>
      <c r="G620" s="2">
        <v>8203.7000000000007</v>
      </c>
      <c r="H620" s="21">
        <v>57520</v>
      </c>
      <c r="I620" s="21" t="s">
        <v>13</v>
      </c>
      <c r="J620" s="2" t="s">
        <v>46</v>
      </c>
      <c r="K620" s="2" t="s">
        <v>39</v>
      </c>
      <c r="L620" s="2" t="s">
        <v>35</v>
      </c>
      <c r="M620" s="2"/>
      <c r="N620" s="2" t="s">
        <v>471</v>
      </c>
      <c r="O620" s="2" t="s">
        <v>1237</v>
      </c>
      <c r="P620" s="2"/>
      <c r="Q620" s="2" t="s">
        <v>49</v>
      </c>
      <c r="R620" s="1">
        <v>3</v>
      </c>
      <c r="S620" s="2"/>
      <c r="T620" s="1"/>
      <c r="U620" s="3">
        <v>42125</v>
      </c>
      <c r="V620" s="2"/>
      <c r="W620" s="2"/>
      <c r="X620" s="2"/>
      <c r="Y620" s="2"/>
      <c r="Z620" s="1">
        <f ca="1">IF(Table1[[#This Row],[Inactive_Date]]="",DATEDIF(Table1[[#This Row],[Date_Acq]],TODAY(),"m"),DATEDIF(Table1[[#This Row],[Date_Acq]],Table1[[#This Row],[Inactive_Date]],"m"))</f>
        <v>43</v>
      </c>
    </row>
    <row r="621" spans="1:26" s="17" customFormat="1" hidden="1" x14ac:dyDescent="0.4">
      <c r="A621" s="6"/>
      <c r="B621" s="7" t="s">
        <v>1238</v>
      </c>
      <c r="C621" s="2"/>
      <c r="D621" s="2"/>
      <c r="E621" s="2" t="s">
        <v>1239</v>
      </c>
      <c r="F621" s="2" t="s">
        <v>1240</v>
      </c>
      <c r="G621" s="2"/>
      <c r="H621" s="21"/>
      <c r="I621" s="21" t="s">
        <v>13</v>
      </c>
      <c r="J621" s="2" t="s">
        <v>46</v>
      </c>
      <c r="K621" s="2" t="s">
        <v>34</v>
      </c>
      <c r="L621" s="2" t="s">
        <v>35</v>
      </c>
      <c r="M621" s="2"/>
      <c r="N621" s="2" t="s">
        <v>849</v>
      </c>
      <c r="O621" s="2" t="s">
        <v>1241</v>
      </c>
      <c r="P621" s="2" t="s">
        <v>1242</v>
      </c>
      <c r="Q621" s="2" t="s">
        <v>49</v>
      </c>
      <c r="R621" s="1"/>
      <c r="S621" s="2"/>
      <c r="T621" s="1"/>
      <c r="U621" s="1"/>
      <c r="V621" s="2"/>
      <c r="W621" s="2"/>
      <c r="X621" s="2"/>
      <c r="Y621" s="2"/>
      <c r="Z621" s="1">
        <f ca="1">IF(Table1[[#This Row],[Inactive_Date]]="",DATEDIF(Table1[[#This Row],[Date_Acq]],TODAY(),"m"),DATEDIF(Table1[[#This Row],[Date_Acq]],Table1[[#This Row],[Inactive_Date]],"m"))</f>
        <v>1402</v>
      </c>
    </row>
    <row r="622" spans="1:26" s="17" customFormat="1" hidden="1" x14ac:dyDescent="0.4">
      <c r="A622" s="6"/>
      <c r="B622" s="7" t="s">
        <v>1243</v>
      </c>
      <c r="C622" s="2"/>
      <c r="D622" s="2"/>
      <c r="E622" s="2" t="s">
        <v>1239</v>
      </c>
      <c r="F622" s="2" t="s">
        <v>1244</v>
      </c>
      <c r="G622" s="2">
        <v>100</v>
      </c>
      <c r="H622" s="21"/>
      <c r="I622" s="21" t="s">
        <v>13</v>
      </c>
      <c r="J622" s="2" t="s">
        <v>46</v>
      </c>
      <c r="K622" s="2" t="s">
        <v>34</v>
      </c>
      <c r="L622" s="2" t="s">
        <v>35</v>
      </c>
      <c r="M622" s="2"/>
      <c r="N622" s="2" t="s">
        <v>849</v>
      </c>
      <c r="O622" s="2" t="s">
        <v>1245</v>
      </c>
      <c r="P622" s="2"/>
      <c r="Q622" s="2" t="s">
        <v>49</v>
      </c>
      <c r="R622" s="1"/>
      <c r="S622" s="2"/>
      <c r="T622" s="1"/>
      <c r="U622" s="1"/>
      <c r="V622" s="2"/>
      <c r="W622" s="2"/>
      <c r="X622" s="2"/>
      <c r="Y622" s="2"/>
      <c r="Z622" s="1">
        <f ca="1">IF(Table1[[#This Row],[Inactive_Date]]="",DATEDIF(Table1[[#This Row],[Date_Acq]],TODAY(),"m"),DATEDIF(Table1[[#This Row],[Date_Acq]],Table1[[#This Row],[Inactive_Date]],"m"))</f>
        <v>1402</v>
      </c>
    </row>
    <row r="623" spans="1:26" s="17" customFormat="1" hidden="1" x14ac:dyDescent="0.4">
      <c r="A623" s="6"/>
      <c r="B623" s="7" t="s">
        <v>1246</v>
      </c>
      <c r="C623" s="2"/>
      <c r="D623" s="2"/>
      <c r="E623" s="2" t="s">
        <v>1239</v>
      </c>
      <c r="F623" s="2" t="s">
        <v>1244</v>
      </c>
      <c r="G623" s="2">
        <v>100</v>
      </c>
      <c r="H623" s="21"/>
      <c r="I623" s="21" t="s">
        <v>13</v>
      </c>
      <c r="J623" s="2" t="s">
        <v>46</v>
      </c>
      <c r="K623" s="2" t="s">
        <v>34</v>
      </c>
      <c r="L623" s="2" t="s">
        <v>35</v>
      </c>
      <c r="M623" s="2"/>
      <c r="N623" s="2" t="s">
        <v>849</v>
      </c>
      <c r="O623" s="2" t="s">
        <v>1245</v>
      </c>
      <c r="P623" s="2"/>
      <c r="Q623" s="2" t="s">
        <v>49</v>
      </c>
      <c r="R623" s="1"/>
      <c r="S623" s="2"/>
      <c r="T623" s="1"/>
      <c r="U623" s="1"/>
      <c r="V623" s="2"/>
      <c r="W623" s="2"/>
      <c r="X623" s="2"/>
      <c r="Y623" s="2"/>
      <c r="Z623" s="1">
        <f ca="1">IF(Table1[[#This Row],[Inactive_Date]]="",DATEDIF(Table1[[#This Row],[Date_Acq]],TODAY(),"m"),DATEDIF(Table1[[#This Row],[Date_Acq]],Table1[[#This Row],[Inactive_Date]],"m"))</f>
        <v>1402</v>
      </c>
    </row>
    <row r="624" spans="1:26" s="17" customFormat="1" x14ac:dyDescent="0.4">
      <c r="A624" s="6"/>
      <c r="B624" s="7" t="s">
        <v>1247</v>
      </c>
      <c r="C624" s="4">
        <v>42021</v>
      </c>
      <c r="D624" s="2" t="s">
        <v>452</v>
      </c>
      <c r="E624" s="2" t="s">
        <v>1199</v>
      </c>
      <c r="F624" s="2" t="s">
        <v>1199</v>
      </c>
      <c r="G624" s="2">
        <v>1200</v>
      </c>
      <c r="H624" s="21">
        <v>57520</v>
      </c>
      <c r="I624" s="21" t="s">
        <v>13</v>
      </c>
      <c r="J624" s="2" t="s">
        <v>46</v>
      </c>
      <c r="K624" s="2" t="s">
        <v>39</v>
      </c>
      <c r="L624" s="2" t="s">
        <v>35</v>
      </c>
      <c r="M624" s="2"/>
      <c r="N624" s="2" t="s">
        <v>849</v>
      </c>
      <c r="O624" s="2" t="s">
        <v>1248</v>
      </c>
      <c r="P624" s="2" t="s">
        <v>1249</v>
      </c>
      <c r="Q624" s="2" t="s">
        <v>49</v>
      </c>
      <c r="R624" s="1">
        <v>1</v>
      </c>
      <c r="S624" s="2"/>
      <c r="T624" s="1"/>
      <c r="U624" s="1"/>
      <c r="V624" s="2"/>
      <c r="W624" s="2"/>
      <c r="X624" s="2"/>
      <c r="Y624" s="2"/>
      <c r="Z624" s="1">
        <f ca="1">IF(Table1[[#This Row],[Inactive_Date]]="",DATEDIF(Table1[[#This Row],[Date_Acq]],TODAY(),"m"),DATEDIF(Table1[[#This Row],[Date_Acq]],Table1[[#This Row],[Inactive_Date]],"m"))</f>
        <v>22</v>
      </c>
    </row>
    <row r="625" spans="1:26" s="17" customFormat="1" hidden="1" x14ac:dyDescent="0.4">
      <c r="A625" s="6"/>
      <c r="B625" s="7" t="s">
        <v>1250</v>
      </c>
      <c r="C625" s="2"/>
      <c r="D625" s="2" t="s">
        <v>1251</v>
      </c>
      <c r="E625" s="2" t="s">
        <v>1252</v>
      </c>
      <c r="F625" s="2"/>
      <c r="G625" s="2">
        <v>100</v>
      </c>
      <c r="H625" s="21"/>
      <c r="I625" s="21" t="s">
        <v>13</v>
      </c>
      <c r="J625" s="2" t="s">
        <v>46</v>
      </c>
      <c r="K625" s="2" t="s">
        <v>34</v>
      </c>
      <c r="L625" s="2" t="s">
        <v>1253</v>
      </c>
      <c r="M625" s="2"/>
      <c r="N625" s="2" t="s">
        <v>1254</v>
      </c>
      <c r="O625" s="2" t="s">
        <v>1255</v>
      </c>
      <c r="P625" s="2" t="s">
        <v>1256</v>
      </c>
      <c r="Q625" s="2" t="s">
        <v>1257</v>
      </c>
      <c r="R625" s="1">
        <v>3</v>
      </c>
      <c r="S625" s="2"/>
      <c r="T625" s="1"/>
      <c r="U625" s="1"/>
      <c r="V625" s="2"/>
      <c r="W625" s="2"/>
      <c r="X625" s="2"/>
      <c r="Y625" s="2"/>
      <c r="Z625" s="1">
        <f ca="1">IF(Table1[[#This Row],[Inactive_Date]]="",DATEDIF(Table1[[#This Row],[Date_Acq]],TODAY(),"m"),DATEDIF(Table1[[#This Row],[Date_Acq]],Table1[[#This Row],[Inactive_Date]],"m"))</f>
        <v>1402</v>
      </c>
    </row>
    <row r="626" spans="1:26" s="17" customFormat="1" hidden="1" x14ac:dyDescent="0.4">
      <c r="A626" s="6"/>
      <c r="B626" s="7" t="s">
        <v>1258</v>
      </c>
      <c r="C626" s="4">
        <v>41640</v>
      </c>
      <c r="D626" s="2" t="s">
        <v>665</v>
      </c>
      <c r="E626" s="2" t="s">
        <v>1259</v>
      </c>
      <c r="F626" s="2" t="s">
        <v>519</v>
      </c>
      <c r="G626" s="2">
        <v>300</v>
      </c>
      <c r="H626" s="21">
        <v>57520</v>
      </c>
      <c r="I626" s="21" t="s">
        <v>13</v>
      </c>
      <c r="J626" s="2" t="s">
        <v>46</v>
      </c>
      <c r="K626" s="2" t="s">
        <v>34</v>
      </c>
      <c r="L626" s="2" t="s">
        <v>35</v>
      </c>
      <c r="M626" s="2"/>
      <c r="N626" s="2"/>
      <c r="O626" s="2"/>
      <c r="P626" s="2" t="s">
        <v>1260</v>
      </c>
      <c r="Q626" s="2" t="s">
        <v>110</v>
      </c>
      <c r="R626" s="1"/>
      <c r="S626" s="2"/>
      <c r="T626" s="1"/>
      <c r="U626" s="1"/>
      <c r="V626" s="2"/>
      <c r="W626" s="2"/>
      <c r="X626" s="2"/>
      <c r="Y626" s="2"/>
      <c r="Z626" s="1">
        <f ca="1">IF(Table1[[#This Row],[Inactive_Date]]="",DATEDIF(Table1[[#This Row],[Date_Acq]],TODAY(),"m"),DATEDIF(Table1[[#This Row],[Date_Acq]],Table1[[#This Row],[Inactive_Date]],"m"))</f>
        <v>34</v>
      </c>
    </row>
    <row r="627" spans="1:26" s="17" customFormat="1" hidden="1" x14ac:dyDescent="0.4">
      <c r="A627" s="6"/>
      <c r="B627" s="7" t="s">
        <v>1261</v>
      </c>
      <c r="C627" s="4">
        <v>42027</v>
      </c>
      <c r="D627" s="2" t="s">
        <v>1262</v>
      </c>
      <c r="E627" s="2" t="s">
        <v>1203</v>
      </c>
      <c r="F627" s="2"/>
      <c r="G627" s="2">
        <v>260.18</v>
      </c>
      <c r="H627" s="21"/>
      <c r="I627" s="21" t="s">
        <v>13</v>
      </c>
      <c r="J627" s="2" t="s">
        <v>46</v>
      </c>
      <c r="K627" s="2" t="s">
        <v>34</v>
      </c>
      <c r="L627" s="2" t="s">
        <v>35</v>
      </c>
      <c r="M627" s="2"/>
      <c r="N627" s="2" t="s">
        <v>849</v>
      </c>
      <c r="O627" s="2" t="s">
        <v>1205</v>
      </c>
      <c r="P627" s="2" t="s">
        <v>1263</v>
      </c>
      <c r="Q627" s="2" t="s">
        <v>711</v>
      </c>
      <c r="R627" s="1">
        <v>5</v>
      </c>
      <c r="S627" s="2"/>
      <c r="T627" s="1"/>
      <c r="U627" s="1"/>
      <c r="V627" s="2"/>
      <c r="W627" s="2"/>
      <c r="X627" s="2"/>
      <c r="Y627" s="2"/>
      <c r="Z627" s="1">
        <f ca="1">IF(Table1[[#This Row],[Inactive_Date]]="",DATEDIF(Table1[[#This Row],[Date_Acq]],TODAY(),"m"),DATEDIF(Table1[[#This Row],[Date_Acq]],Table1[[#This Row],[Inactive_Date]],"m"))</f>
        <v>21</v>
      </c>
    </row>
    <row r="628" spans="1:26" s="17" customFormat="1" hidden="1" x14ac:dyDescent="0.4">
      <c r="A628" s="6"/>
      <c r="B628" s="7" t="s">
        <v>1264</v>
      </c>
      <c r="C628" s="4">
        <v>42027</v>
      </c>
      <c r="D628" s="2" t="s">
        <v>1265</v>
      </c>
      <c r="E628" s="2" t="s">
        <v>1203</v>
      </c>
      <c r="F628" s="2" t="s">
        <v>1266</v>
      </c>
      <c r="G628" s="2">
        <v>260.18</v>
      </c>
      <c r="H628" s="21"/>
      <c r="I628" s="21" t="s">
        <v>13</v>
      </c>
      <c r="J628" s="2" t="s">
        <v>46</v>
      </c>
      <c r="K628" s="2" t="s">
        <v>34</v>
      </c>
      <c r="L628" s="2" t="s">
        <v>35</v>
      </c>
      <c r="M628" s="2"/>
      <c r="N628" s="2" t="s">
        <v>849</v>
      </c>
      <c r="O628" s="2" t="s">
        <v>1205</v>
      </c>
      <c r="P628" s="2" t="s">
        <v>1267</v>
      </c>
      <c r="Q628" s="2"/>
      <c r="R628" s="1">
        <v>5</v>
      </c>
      <c r="S628" s="2"/>
      <c r="T628" s="1"/>
      <c r="U628" s="1"/>
      <c r="V628" s="2"/>
      <c r="W628" s="2"/>
      <c r="X628" s="2"/>
      <c r="Y628" s="2"/>
      <c r="Z628" s="1">
        <f ca="1">IF(Table1[[#This Row],[Inactive_Date]]="",DATEDIF(Table1[[#This Row],[Date_Acq]],TODAY(),"m"),DATEDIF(Table1[[#This Row],[Date_Acq]],Table1[[#This Row],[Inactive_Date]],"m"))</f>
        <v>21</v>
      </c>
    </row>
    <row r="629" spans="1:26" s="17" customFormat="1" hidden="1" x14ac:dyDescent="0.4">
      <c r="A629" s="6"/>
      <c r="B629" s="7" t="s">
        <v>1268</v>
      </c>
      <c r="C629" s="4">
        <v>42027</v>
      </c>
      <c r="D629" s="2" t="s">
        <v>1262</v>
      </c>
      <c r="E629" s="2" t="s">
        <v>1203</v>
      </c>
      <c r="F629" s="2" t="s">
        <v>1269</v>
      </c>
      <c r="G629" s="2">
        <v>260.18</v>
      </c>
      <c r="H629" s="21"/>
      <c r="I629" s="21" t="s">
        <v>13</v>
      </c>
      <c r="J629" s="2" t="s">
        <v>46</v>
      </c>
      <c r="K629" s="2" t="s">
        <v>34</v>
      </c>
      <c r="L629" s="2" t="s">
        <v>35</v>
      </c>
      <c r="M629" s="2"/>
      <c r="N629" s="2" t="s">
        <v>849</v>
      </c>
      <c r="O629" s="2" t="s">
        <v>1205</v>
      </c>
      <c r="P629" s="2" t="s">
        <v>1270</v>
      </c>
      <c r="Q629" s="2"/>
      <c r="R629" s="1">
        <v>1</v>
      </c>
      <c r="S629" s="2"/>
      <c r="T629" s="1"/>
      <c r="U629" s="1"/>
      <c r="V629" s="2"/>
      <c r="W629" s="2"/>
      <c r="X629" s="2"/>
      <c r="Y629" s="2"/>
      <c r="Z629" s="1">
        <f ca="1">IF(Table1[[#This Row],[Inactive_Date]]="",DATEDIF(Table1[[#This Row],[Date_Acq]],TODAY(),"m"),DATEDIF(Table1[[#This Row],[Date_Acq]],Table1[[#This Row],[Inactive_Date]],"m"))</f>
        <v>21</v>
      </c>
    </row>
    <row r="630" spans="1:26" s="17" customFormat="1" hidden="1" x14ac:dyDescent="0.4">
      <c r="A630" s="6"/>
      <c r="B630" s="7" t="s">
        <v>1271</v>
      </c>
      <c r="C630" s="4">
        <v>41981</v>
      </c>
      <c r="D630" s="2" t="s">
        <v>452</v>
      </c>
      <c r="E630" s="2" t="s">
        <v>1272</v>
      </c>
      <c r="F630" s="2" t="s">
        <v>1273</v>
      </c>
      <c r="G630" s="2">
        <v>400</v>
      </c>
      <c r="H630" s="21">
        <v>57520</v>
      </c>
      <c r="I630" s="21" t="s">
        <v>13</v>
      </c>
      <c r="J630" s="2" t="s">
        <v>46</v>
      </c>
      <c r="K630" s="2" t="s">
        <v>34</v>
      </c>
      <c r="L630" s="2" t="s">
        <v>35</v>
      </c>
      <c r="M630" s="2"/>
      <c r="N630" s="2" t="s">
        <v>709</v>
      </c>
      <c r="O630" s="2" t="s">
        <v>1274</v>
      </c>
      <c r="P630" s="2" t="s">
        <v>1275</v>
      </c>
      <c r="Q630" s="2" t="s">
        <v>711</v>
      </c>
      <c r="R630" s="1"/>
      <c r="S630" s="2"/>
      <c r="T630" s="1"/>
      <c r="U630" s="1"/>
      <c r="V630" s="2"/>
      <c r="W630" s="2"/>
      <c r="X630" s="2"/>
      <c r="Y630" s="2"/>
      <c r="Z630" s="1">
        <f ca="1">IF(Table1[[#This Row],[Inactive_Date]]="",DATEDIF(Table1[[#This Row],[Date_Acq]],TODAY(),"m"),DATEDIF(Table1[[#This Row],[Date_Acq]],Table1[[#This Row],[Inactive_Date]],"m"))</f>
        <v>23</v>
      </c>
    </row>
    <row r="631" spans="1:26" s="17" customFormat="1" hidden="1" x14ac:dyDescent="0.4">
      <c r="A631" s="6"/>
      <c r="B631" s="7" t="s">
        <v>1276</v>
      </c>
      <c r="C631" s="4">
        <v>41981</v>
      </c>
      <c r="D631" s="2" t="s">
        <v>452</v>
      </c>
      <c r="E631" s="2" t="s">
        <v>1273</v>
      </c>
      <c r="F631" s="2" t="s">
        <v>1277</v>
      </c>
      <c r="G631" s="2">
        <v>253.35</v>
      </c>
      <c r="H631" s="21">
        <v>57520</v>
      </c>
      <c r="I631" s="21" t="s">
        <v>13</v>
      </c>
      <c r="J631" s="2" t="s">
        <v>46</v>
      </c>
      <c r="K631" s="2" t="s">
        <v>34</v>
      </c>
      <c r="L631" s="2" t="s">
        <v>35</v>
      </c>
      <c r="M631" s="2"/>
      <c r="N631" s="2" t="s">
        <v>709</v>
      </c>
      <c r="O631" s="2" t="s">
        <v>1274</v>
      </c>
      <c r="P631" s="2" t="s">
        <v>1278</v>
      </c>
      <c r="Q631" s="2" t="s">
        <v>711</v>
      </c>
      <c r="R631" s="1">
        <v>1</v>
      </c>
      <c r="S631" s="2"/>
      <c r="T631" s="1" t="s">
        <v>410</v>
      </c>
      <c r="U631" s="1"/>
      <c r="V631" s="2"/>
      <c r="W631" s="2"/>
      <c r="X631" s="2"/>
      <c r="Y631" s="2"/>
      <c r="Z631" s="1">
        <f ca="1">IF(Table1[[#This Row],[Inactive_Date]]="",DATEDIF(Table1[[#This Row],[Date_Acq]],TODAY(),"m"),DATEDIF(Table1[[#This Row],[Date_Acq]],Table1[[#This Row],[Inactive_Date]],"m"))</f>
        <v>23</v>
      </c>
    </row>
    <row r="632" spans="1:26" s="17" customFormat="1" hidden="1" x14ac:dyDescent="0.4">
      <c r="A632" s="6"/>
      <c r="B632" s="7" t="s">
        <v>1279</v>
      </c>
      <c r="C632" s="4">
        <v>41992</v>
      </c>
      <c r="D632" s="2" t="s">
        <v>452</v>
      </c>
      <c r="E632" s="2" t="s">
        <v>1280</v>
      </c>
      <c r="F632" s="2" t="s">
        <v>1281</v>
      </c>
      <c r="G632" s="2">
        <v>395</v>
      </c>
      <c r="H632" s="21">
        <v>57520</v>
      </c>
      <c r="I632" s="21" t="s">
        <v>13</v>
      </c>
      <c r="J632" s="2" t="s">
        <v>46</v>
      </c>
      <c r="K632" s="2" t="s">
        <v>34</v>
      </c>
      <c r="L632" s="2" t="s">
        <v>35</v>
      </c>
      <c r="M632" s="2"/>
      <c r="N632" s="2" t="s">
        <v>709</v>
      </c>
      <c r="O632" s="2" t="s">
        <v>1274</v>
      </c>
      <c r="P632" s="2" t="s">
        <v>1282</v>
      </c>
      <c r="Q632" s="2" t="s">
        <v>711</v>
      </c>
      <c r="R632" s="1"/>
      <c r="S632" s="2"/>
      <c r="T632" s="1"/>
      <c r="U632" s="1"/>
      <c r="V632" s="2"/>
      <c r="W632" s="2"/>
      <c r="X632" s="2"/>
      <c r="Y632" s="2"/>
      <c r="Z632" s="1">
        <f ca="1">IF(Table1[[#This Row],[Inactive_Date]]="",DATEDIF(Table1[[#This Row],[Date_Acq]],TODAY(),"m"),DATEDIF(Table1[[#This Row],[Date_Acq]],Table1[[#This Row],[Inactive_Date]],"m"))</f>
        <v>23</v>
      </c>
    </row>
    <row r="633" spans="1:26" s="17" customFormat="1" x14ac:dyDescent="0.4">
      <c r="A633" s="6"/>
      <c r="B633" s="7" t="s">
        <v>1283</v>
      </c>
      <c r="C633" s="4">
        <v>42037</v>
      </c>
      <c r="D633" s="2" t="s">
        <v>452</v>
      </c>
      <c r="E633" s="2" t="s">
        <v>1199</v>
      </c>
      <c r="F633" s="2" t="s">
        <v>1199</v>
      </c>
      <c r="G633" s="2">
        <v>2500</v>
      </c>
      <c r="H633" s="21">
        <v>57520</v>
      </c>
      <c r="I633" s="21" t="s">
        <v>13</v>
      </c>
      <c r="J633" s="2" t="s">
        <v>46</v>
      </c>
      <c r="K633" s="2" t="s">
        <v>39</v>
      </c>
      <c r="L633" s="2" t="s">
        <v>35</v>
      </c>
      <c r="M633" s="2"/>
      <c r="N633" s="2" t="s">
        <v>849</v>
      </c>
      <c r="O633" s="2" t="s">
        <v>1248</v>
      </c>
      <c r="P633" s="2" t="s">
        <v>1284</v>
      </c>
      <c r="Q633" s="2" t="s">
        <v>711</v>
      </c>
      <c r="R633" s="1">
        <v>5</v>
      </c>
      <c r="S633" s="2"/>
      <c r="T633" s="1"/>
      <c r="U633" s="1"/>
      <c r="V633" s="2"/>
      <c r="W633" s="2"/>
      <c r="X633" s="2"/>
      <c r="Y633" s="2"/>
      <c r="Z633" s="1">
        <f ca="1">IF(Table1[[#This Row],[Inactive_Date]]="",DATEDIF(Table1[[#This Row],[Date_Acq]],TODAY(),"m"),DATEDIF(Table1[[#This Row],[Date_Acq]],Table1[[#This Row],[Inactive_Date]],"m"))</f>
        <v>21</v>
      </c>
    </row>
    <row r="634" spans="1:26" s="17" customFormat="1" hidden="1" x14ac:dyDescent="0.4">
      <c r="A634" s="6"/>
      <c r="B634" s="7" t="s">
        <v>1285</v>
      </c>
      <c r="C634" s="4">
        <v>41923</v>
      </c>
      <c r="D634" s="2" t="s">
        <v>1172</v>
      </c>
      <c r="E634" s="2" t="s">
        <v>1147</v>
      </c>
      <c r="F634" s="2" t="s">
        <v>1147</v>
      </c>
      <c r="G634" s="2">
        <v>420</v>
      </c>
      <c r="H634" s="21">
        <v>57520</v>
      </c>
      <c r="I634" s="21" t="s">
        <v>13</v>
      </c>
      <c r="J634" s="2" t="s">
        <v>46</v>
      </c>
      <c r="K634" s="2" t="s">
        <v>34</v>
      </c>
      <c r="L634" s="2" t="s">
        <v>35</v>
      </c>
      <c r="M634" s="2"/>
      <c r="N634" s="2" t="s">
        <v>1173</v>
      </c>
      <c r="O634" s="2" t="s">
        <v>1174</v>
      </c>
      <c r="P634" s="2" t="s">
        <v>1286</v>
      </c>
      <c r="Q634" s="2" t="s">
        <v>711</v>
      </c>
      <c r="R634" s="1">
        <v>5</v>
      </c>
      <c r="S634" s="2"/>
      <c r="T634" s="1" t="s">
        <v>410</v>
      </c>
      <c r="U634" s="1"/>
      <c r="V634" s="2"/>
      <c r="W634" s="2"/>
      <c r="X634" s="2"/>
      <c r="Y634" s="2"/>
      <c r="Z634" s="1">
        <f ca="1">IF(Table1[[#This Row],[Inactive_Date]]="",DATEDIF(Table1[[#This Row],[Date_Acq]],TODAY(),"m"),DATEDIF(Table1[[#This Row],[Date_Acq]],Table1[[#This Row],[Inactive_Date]],"m"))</f>
        <v>25</v>
      </c>
    </row>
    <row r="635" spans="1:26" s="17" customFormat="1" hidden="1" x14ac:dyDescent="0.4">
      <c r="A635" s="6"/>
      <c r="B635" s="7" t="s">
        <v>1287</v>
      </c>
      <c r="C635" s="4">
        <v>41640</v>
      </c>
      <c r="D635" s="2" t="s">
        <v>1251</v>
      </c>
      <c r="E635" s="2" t="s">
        <v>1288</v>
      </c>
      <c r="F635" s="2" t="s">
        <v>1289</v>
      </c>
      <c r="G635" s="2">
        <v>300</v>
      </c>
      <c r="H635" s="21"/>
      <c r="I635" s="21" t="s">
        <v>13</v>
      </c>
      <c r="J635" s="2" t="s">
        <v>46</v>
      </c>
      <c r="K635" s="2" t="s">
        <v>34</v>
      </c>
      <c r="L635" s="2" t="s">
        <v>35</v>
      </c>
      <c r="M635" s="2"/>
      <c r="N635" s="2" t="s">
        <v>1290</v>
      </c>
      <c r="O635" s="2" t="s">
        <v>1291</v>
      </c>
      <c r="P635" s="2" t="s">
        <v>1292</v>
      </c>
      <c r="Q635" s="2"/>
      <c r="R635" s="1">
        <v>1</v>
      </c>
      <c r="S635" s="2"/>
      <c r="T635" s="1"/>
      <c r="U635" s="1"/>
      <c r="V635" s="2"/>
      <c r="W635" s="2"/>
      <c r="X635" s="2"/>
      <c r="Y635" s="2"/>
      <c r="Z635" s="1">
        <f ca="1">IF(Table1[[#This Row],[Inactive_Date]]="",DATEDIF(Table1[[#This Row],[Date_Acq]],TODAY(),"m"),DATEDIF(Table1[[#This Row],[Date_Acq]],Table1[[#This Row],[Inactive_Date]],"m"))</f>
        <v>34</v>
      </c>
    </row>
    <row r="636" spans="1:26" s="17" customFormat="1" x14ac:dyDescent="0.4">
      <c r="A636" s="6"/>
      <c r="B636" s="7" t="s">
        <v>1293</v>
      </c>
      <c r="C636" s="4">
        <v>42027</v>
      </c>
      <c r="D636" s="2" t="s">
        <v>452</v>
      </c>
      <c r="E636" s="2" t="s">
        <v>1199</v>
      </c>
      <c r="F636" s="2" t="s">
        <v>1199</v>
      </c>
      <c r="G636" s="2">
        <v>2229</v>
      </c>
      <c r="H636" s="21">
        <v>57520</v>
      </c>
      <c r="I636" s="21" t="s">
        <v>13</v>
      </c>
      <c r="J636" s="2" t="s">
        <v>46</v>
      </c>
      <c r="K636" s="2" t="s">
        <v>39</v>
      </c>
      <c r="L636" s="2" t="s">
        <v>35</v>
      </c>
      <c r="M636" s="2"/>
      <c r="N636" s="2" t="s">
        <v>849</v>
      </c>
      <c r="O636" s="2" t="s">
        <v>1248</v>
      </c>
      <c r="P636" s="2" t="s">
        <v>1294</v>
      </c>
      <c r="Q636" s="2" t="s">
        <v>1295</v>
      </c>
      <c r="R636" s="1">
        <v>5</v>
      </c>
      <c r="S636" s="2"/>
      <c r="T636" s="1"/>
      <c r="U636" s="1"/>
      <c r="V636" s="2"/>
      <c r="W636" s="2"/>
      <c r="X636" s="2"/>
      <c r="Y636" s="2"/>
      <c r="Z636" s="1">
        <f ca="1">IF(Table1[[#This Row],[Inactive_Date]]="",DATEDIF(Table1[[#This Row],[Date_Acq]],TODAY(),"m"),DATEDIF(Table1[[#This Row],[Date_Acq]],Table1[[#This Row],[Inactive_Date]],"m"))</f>
        <v>21</v>
      </c>
    </row>
    <row r="637" spans="1:26" s="17" customFormat="1" x14ac:dyDescent="0.4">
      <c r="A637" s="6"/>
      <c r="B637" s="7" t="s">
        <v>1293</v>
      </c>
      <c r="C637" s="4">
        <v>42063</v>
      </c>
      <c r="D637" s="2" t="s">
        <v>1296</v>
      </c>
      <c r="E637" s="2" t="s">
        <v>703</v>
      </c>
      <c r="F637" s="2" t="s">
        <v>703</v>
      </c>
      <c r="G637" s="2">
        <v>2115</v>
      </c>
      <c r="H637" s="21">
        <v>57530</v>
      </c>
      <c r="I637" s="21" t="s">
        <v>13</v>
      </c>
      <c r="J637" s="2" t="s">
        <v>46</v>
      </c>
      <c r="K637" s="2" t="s">
        <v>39</v>
      </c>
      <c r="L637" s="2" t="s">
        <v>35</v>
      </c>
      <c r="M637" s="2"/>
      <c r="N637" s="2" t="s">
        <v>306</v>
      </c>
      <c r="O637" s="2" t="s">
        <v>703</v>
      </c>
      <c r="P637" s="2" t="s">
        <v>1297</v>
      </c>
      <c r="Q637" s="2" t="s">
        <v>110</v>
      </c>
      <c r="R637" s="1">
        <v>5</v>
      </c>
      <c r="S637" s="2"/>
      <c r="T637" s="1"/>
      <c r="U637" s="1"/>
      <c r="V637" s="2"/>
      <c r="W637" s="2"/>
      <c r="X637" s="2"/>
      <c r="Y637" s="2"/>
      <c r="Z637" s="1">
        <f ca="1">IF(Table1[[#This Row],[Inactive_Date]]="",DATEDIF(Table1[[#This Row],[Date_Acq]],TODAY(),"m"),DATEDIF(Table1[[#This Row],[Date_Acq]],Table1[[#This Row],[Inactive_Date]],"m"))</f>
        <v>20</v>
      </c>
    </row>
    <row r="638" spans="1:26" s="17" customFormat="1" x14ac:dyDescent="0.4">
      <c r="A638" s="6"/>
      <c r="B638" s="7" t="s">
        <v>1298</v>
      </c>
      <c r="C638" s="4">
        <v>42036</v>
      </c>
      <c r="D638" s="2" t="s">
        <v>452</v>
      </c>
      <c r="E638" s="2" t="s">
        <v>1198</v>
      </c>
      <c r="F638" s="2" t="s">
        <v>1199</v>
      </c>
      <c r="G638" s="2">
        <v>1700</v>
      </c>
      <c r="H638" s="21">
        <v>57520</v>
      </c>
      <c r="I638" s="21" t="s">
        <v>13</v>
      </c>
      <c r="J638" s="2" t="s">
        <v>46</v>
      </c>
      <c r="K638" s="2" t="s">
        <v>39</v>
      </c>
      <c r="L638" s="2" t="s">
        <v>35</v>
      </c>
      <c r="M638" s="2"/>
      <c r="N638" s="2" t="s">
        <v>849</v>
      </c>
      <c r="O638" s="2" t="s">
        <v>1248</v>
      </c>
      <c r="P638" s="2" t="s">
        <v>1299</v>
      </c>
      <c r="Q638" s="2" t="s">
        <v>1300</v>
      </c>
      <c r="R638" s="1">
        <v>5</v>
      </c>
      <c r="S638" s="2"/>
      <c r="T638" s="1" t="s">
        <v>706</v>
      </c>
      <c r="U638" s="1"/>
      <c r="V638" s="2"/>
      <c r="W638" s="2"/>
      <c r="X638" s="2"/>
      <c r="Y638" s="2"/>
      <c r="Z638" s="1">
        <f ca="1">IF(Table1[[#This Row],[Inactive_Date]]="",DATEDIF(Table1[[#This Row],[Date_Acq]],TODAY(),"m"),DATEDIF(Table1[[#This Row],[Date_Acq]],Table1[[#This Row],[Inactive_Date]],"m"))</f>
        <v>21</v>
      </c>
    </row>
    <row r="639" spans="1:26" s="17" customFormat="1" x14ac:dyDescent="0.4">
      <c r="A639" s="6"/>
      <c r="B639" s="7" t="s">
        <v>1301</v>
      </c>
      <c r="C639" s="4">
        <v>42062</v>
      </c>
      <c r="D639" s="2" t="s">
        <v>360</v>
      </c>
      <c r="E639" s="2" t="s">
        <v>703</v>
      </c>
      <c r="F639" s="2" t="s">
        <v>1302</v>
      </c>
      <c r="G639" s="2">
        <v>2943</v>
      </c>
      <c r="H639" s="21"/>
      <c r="I639" s="21" t="s">
        <v>108</v>
      </c>
      <c r="J639" s="2" t="s">
        <v>46</v>
      </c>
      <c r="K639" s="2" t="s">
        <v>39</v>
      </c>
      <c r="L639" s="2" t="s">
        <v>35</v>
      </c>
      <c r="M639" s="2"/>
      <c r="N639" s="2" t="s">
        <v>306</v>
      </c>
      <c r="O639" s="2" t="s">
        <v>703</v>
      </c>
      <c r="P639" s="2" t="s">
        <v>1303</v>
      </c>
      <c r="Q639" s="2" t="s">
        <v>942</v>
      </c>
      <c r="R639" s="1">
        <v>3</v>
      </c>
      <c r="S639" s="2" t="s">
        <v>1304</v>
      </c>
      <c r="T639" s="1" t="s">
        <v>410</v>
      </c>
      <c r="U639" s="3">
        <v>43158</v>
      </c>
      <c r="V639" s="2"/>
      <c r="W639" s="2"/>
      <c r="X639" s="2"/>
      <c r="Y639" s="2"/>
      <c r="Z639" s="1">
        <f ca="1">IF(Table1[[#This Row],[Inactive_Date]]="",DATEDIF(Table1[[#This Row],[Date_Acq]],TODAY(),"m"),DATEDIF(Table1[[#This Row],[Date_Acq]],Table1[[#This Row],[Inactive_Date]],"m"))</f>
        <v>20</v>
      </c>
    </row>
    <row r="640" spans="1:26" s="17" customFormat="1" ht="22.3" hidden="1" x14ac:dyDescent="0.4">
      <c r="A640" s="6"/>
      <c r="B640" s="7" t="s">
        <v>1305</v>
      </c>
      <c r="C640" s="4">
        <v>40795</v>
      </c>
      <c r="D640" s="2" t="s">
        <v>405</v>
      </c>
      <c r="E640" s="2" t="s">
        <v>703</v>
      </c>
      <c r="F640" s="2" t="s">
        <v>1306</v>
      </c>
      <c r="G640" s="2">
        <v>2483</v>
      </c>
      <c r="H640" s="21"/>
      <c r="I640" s="21" t="s">
        <v>167</v>
      </c>
      <c r="J640" s="2" t="s">
        <v>46</v>
      </c>
      <c r="K640" s="2" t="s">
        <v>34</v>
      </c>
      <c r="L640" s="2" t="s">
        <v>35</v>
      </c>
      <c r="M640" s="2"/>
      <c r="N640" s="2" t="s">
        <v>306</v>
      </c>
      <c r="O640" s="2" t="s">
        <v>703</v>
      </c>
      <c r="P640" s="2" t="s">
        <v>1307</v>
      </c>
      <c r="Q640" s="2" t="s">
        <v>110</v>
      </c>
      <c r="R640" s="1">
        <v>1</v>
      </c>
      <c r="S640" s="5" t="s">
        <v>1308</v>
      </c>
      <c r="T640" s="1"/>
      <c r="U640" s="1"/>
      <c r="V640" s="2"/>
      <c r="W640" s="2"/>
      <c r="X640" s="2"/>
      <c r="Y640" s="2"/>
      <c r="Z640" s="1">
        <f ca="1">IF(Table1[[#This Row],[Inactive_Date]]="",DATEDIF(Table1[[#This Row],[Date_Acq]],TODAY(),"m"),DATEDIF(Table1[[#This Row],[Date_Acq]],Table1[[#This Row],[Inactive_Date]],"m"))</f>
        <v>62</v>
      </c>
    </row>
    <row r="641" spans="1:26" s="17" customFormat="1" hidden="1" x14ac:dyDescent="0.4">
      <c r="A641" s="6"/>
      <c r="B641" s="7" t="s">
        <v>1309</v>
      </c>
      <c r="C641" s="4">
        <v>42096</v>
      </c>
      <c r="D641" s="2" t="s">
        <v>665</v>
      </c>
      <c r="E641" s="2" t="s">
        <v>1310</v>
      </c>
      <c r="F641" s="2" t="s">
        <v>1311</v>
      </c>
      <c r="G641" s="2">
        <v>299</v>
      </c>
      <c r="H641" s="21">
        <v>57520</v>
      </c>
      <c r="I641" s="21" t="s">
        <v>820</v>
      </c>
      <c r="J641" s="2" t="s">
        <v>46</v>
      </c>
      <c r="K641" s="2" t="s">
        <v>34</v>
      </c>
      <c r="L641" s="2" t="s">
        <v>35</v>
      </c>
      <c r="M641" s="2"/>
      <c r="N641" s="2" t="s">
        <v>709</v>
      </c>
      <c r="O641" s="2" t="s">
        <v>710</v>
      </c>
      <c r="P641" s="2"/>
      <c r="Q641" s="2" t="s">
        <v>711</v>
      </c>
      <c r="R641" s="1"/>
      <c r="S641" s="2"/>
      <c r="T641" s="1" t="s">
        <v>706</v>
      </c>
      <c r="U641" s="3">
        <v>42006</v>
      </c>
      <c r="V641" s="2"/>
      <c r="W641" s="2"/>
      <c r="X641" s="2"/>
      <c r="Y641" s="2"/>
      <c r="Z641" s="1">
        <f ca="1">IF(Table1[[#This Row],[Inactive_Date]]="",DATEDIF(Table1[[#This Row],[Date_Acq]],TODAY(),"m"),DATEDIF(Table1[[#This Row],[Date_Acq]],Table1[[#This Row],[Inactive_Date]],"m"))</f>
        <v>19</v>
      </c>
    </row>
    <row r="642" spans="1:26" s="17" customFormat="1" hidden="1" x14ac:dyDescent="0.4">
      <c r="A642" s="6"/>
      <c r="B642" s="7" t="s">
        <v>1312</v>
      </c>
      <c r="C642" s="4">
        <v>42124</v>
      </c>
      <c r="D642" s="2" t="s">
        <v>452</v>
      </c>
      <c r="E642" s="2" t="s">
        <v>956</v>
      </c>
      <c r="F642" s="2"/>
      <c r="G642" s="2">
        <v>200</v>
      </c>
      <c r="H642" s="21">
        <v>57520</v>
      </c>
      <c r="I642" s="21"/>
      <c r="J642" s="2" t="s">
        <v>46</v>
      </c>
      <c r="K642" s="2" t="s">
        <v>34</v>
      </c>
      <c r="L642" s="2" t="s">
        <v>35</v>
      </c>
      <c r="M642" s="2"/>
      <c r="N642" s="2" t="s">
        <v>454</v>
      </c>
      <c r="O642" s="2" t="s">
        <v>961</v>
      </c>
      <c r="P642" s="2" t="s">
        <v>1313</v>
      </c>
      <c r="Q642" s="2" t="s">
        <v>1314</v>
      </c>
      <c r="R642" s="1">
        <v>3</v>
      </c>
      <c r="S642" s="2"/>
      <c r="T642" s="1" t="s">
        <v>706</v>
      </c>
      <c r="U642" s="1"/>
      <c r="V642" s="2"/>
      <c r="W642" s="2"/>
      <c r="X642" s="2"/>
      <c r="Y642" s="2"/>
      <c r="Z642" s="1">
        <f ca="1">IF(Table1[[#This Row],[Inactive_Date]]="",DATEDIF(Table1[[#This Row],[Date_Acq]],TODAY(),"m"),DATEDIF(Table1[[#This Row],[Date_Acq]],Table1[[#This Row],[Inactive_Date]],"m"))</f>
        <v>18</v>
      </c>
    </row>
    <row r="643" spans="1:26" s="17" customFormat="1" x14ac:dyDescent="0.4">
      <c r="A643" s="6"/>
      <c r="B643" s="7" t="s">
        <v>1315</v>
      </c>
      <c r="C643" s="4">
        <v>42130</v>
      </c>
      <c r="D643" s="2" t="s">
        <v>405</v>
      </c>
      <c r="E643" s="2" t="s">
        <v>1316</v>
      </c>
      <c r="F643" s="2" t="s">
        <v>1317</v>
      </c>
      <c r="G643" s="2">
        <v>6255</v>
      </c>
      <c r="H643" s="21">
        <v>57520</v>
      </c>
      <c r="I643" s="21" t="s">
        <v>13</v>
      </c>
      <c r="J643" s="2" t="s">
        <v>46</v>
      </c>
      <c r="K643" s="2" t="s">
        <v>39</v>
      </c>
      <c r="L643" s="2" t="s">
        <v>35</v>
      </c>
      <c r="M643" s="2"/>
      <c r="N643" s="2" t="s">
        <v>1318</v>
      </c>
      <c r="O643" s="2" t="s">
        <v>1317</v>
      </c>
      <c r="P643" s="2" t="s">
        <v>1319</v>
      </c>
      <c r="Q643" s="2" t="s">
        <v>1016</v>
      </c>
      <c r="R643" s="1">
        <v>5</v>
      </c>
      <c r="S643" s="2" t="s">
        <v>1320</v>
      </c>
      <c r="T643" s="1" t="s">
        <v>410</v>
      </c>
      <c r="U643" s="3">
        <v>43226</v>
      </c>
      <c r="V643" s="2"/>
      <c r="W643" s="2"/>
      <c r="X643" s="2"/>
      <c r="Y643" s="2"/>
      <c r="Z643" s="1">
        <f ca="1">IF(Table1[[#This Row],[Inactive_Date]]="",DATEDIF(Table1[[#This Row],[Date_Acq]],TODAY(),"m"),DATEDIF(Table1[[#This Row],[Date_Acq]],Table1[[#This Row],[Inactive_Date]],"m"))</f>
        <v>18</v>
      </c>
    </row>
    <row r="644" spans="1:26" s="17" customFormat="1" hidden="1" x14ac:dyDescent="0.4">
      <c r="A644" s="6"/>
      <c r="B644" s="7" t="s">
        <v>1321</v>
      </c>
      <c r="C644" s="4">
        <v>40472</v>
      </c>
      <c r="D644" s="2" t="s">
        <v>1322</v>
      </c>
      <c r="E644" s="2" t="s">
        <v>1323</v>
      </c>
      <c r="F644" s="2" t="s">
        <v>1323</v>
      </c>
      <c r="G644" s="2">
        <v>971.79</v>
      </c>
      <c r="H644" s="21"/>
      <c r="I644" s="21" t="s">
        <v>13</v>
      </c>
      <c r="J644" s="2" t="s">
        <v>46</v>
      </c>
      <c r="K644" s="2" t="s">
        <v>34</v>
      </c>
      <c r="L644" s="2" t="s">
        <v>35</v>
      </c>
      <c r="M644" s="2"/>
      <c r="N644" s="2" t="s">
        <v>1322</v>
      </c>
      <c r="O644" s="2"/>
      <c r="P644" s="2"/>
      <c r="Q644" s="2"/>
      <c r="R644" s="1"/>
      <c r="S644" s="2" t="s">
        <v>1109</v>
      </c>
      <c r="T644" s="1"/>
      <c r="U644" s="1"/>
      <c r="V644" s="2"/>
      <c r="W644" s="2"/>
      <c r="X644" s="2"/>
      <c r="Y644" s="2"/>
      <c r="Z644" s="1">
        <f ca="1">IF(Table1[[#This Row],[Inactive_Date]]="",DATEDIF(Table1[[#This Row],[Date_Acq]],TODAY(),"m"),DATEDIF(Table1[[#This Row],[Date_Acq]],Table1[[#This Row],[Inactive_Date]],"m"))</f>
        <v>73</v>
      </c>
    </row>
    <row r="645" spans="1:26" s="17" customFormat="1" hidden="1" x14ac:dyDescent="0.4">
      <c r="A645" s="6"/>
      <c r="B645" s="7" t="s">
        <v>1324</v>
      </c>
      <c r="C645" s="4">
        <v>42101</v>
      </c>
      <c r="D645" s="2" t="s">
        <v>665</v>
      </c>
      <c r="E645" s="2" t="s">
        <v>406</v>
      </c>
      <c r="F645" s="2"/>
      <c r="G645" s="2">
        <v>879</v>
      </c>
      <c r="H645" s="21">
        <v>57520</v>
      </c>
      <c r="I645" s="21" t="s">
        <v>13</v>
      </c>
      <c r="J645" s="2" t="s">
        <v>46</v>
      </c>
      <c r="K645" s="2" t="s">
        <v>34</v>
      </c>
      <c r="L645" s="2" t="s">
        <v>51</v>
      </c>
      <c r="M645" s="2"/>
      <c r="N645" s="2" t="s">
        <v>306</v>
      </c>
      <c r="O645" s="2"/>
      <c r="P645" s="2" t="s">
        <v>1325</v>
      </c>
      <c r="Q645" s="2" t="s">
        <v>110</v>
      </c>
      <c r="R645" s="1">
        <v>5</v>
      </c>
      <c r="S645" s="2"/>
      <c r="T645" s="1" t="s">
        <v>410</v>
      </c>
      <c r="U645" s="3">
        <v>42467</v>
      </c>
      <c r="V645" s="2"/>
      <c r="W645" s="2"/>
      <c r="X645" s="2"/>
      <c r="Y645" s="2"/>
      <c r="Z645" s="1">
        <f ca="1">IF(Table1[[#This Row],[Inactive_Date]]="",DATEDIF(Table1[[#This Row],[Date_Acq]],TODAY(),"m"),DATEDIF(Table1[[#This Row],[Date_Acq]],Table1[[#This Row],[Inactive_Date]],"m"))</f>
        <v>19</v>
      </c>
    </row>
    <row r="646" spans="1:26" s="17" customFormat="1" x14ac:dyDescent="0.4">
      <c r="A646" s="6"/>
      <c r="B646" s="7" t="s">
        <v>1326</v>
      </c>
      <c r="C646" s="4">
        <v>42101</v>
      </c>
      <c r="D646" s="2" t="s">
        <v>405</v>
      </c>
      <c r="E646" s="2" t="s">
        <v>1327</v>
      </c>
      <c r="F646" s="2" t="s">
        <v>1328</v>
      </c>
      <c r="G646" s="2">
        <v>1839</v>
      </c>
      <c r="H646" s="21">
        <v>57520</v>
      </c>
      <c r="I646" s="21" t="s">
        <v>108</v>
      </c>
      <c r="J646" s="2" t="s">
        <v>46</v>
      </c>
      <c r="K646" s="2" t="s">
        <v>39</v>
      </c>
      <c r="L646" s="2" t="s">
        <v>51</v>
      </c>
      <c r="M646" s="2"/>
      <c r="N646" s="2" t="s">
        <v>306</v>
      </c>
      <c r="O646" s="2" t="s">
        <v>703</v>
      </c>
      <c r="P646" s="2" t="s">
        <v>1329</v>
      </c>
      <c r="Q646" s="2" t="s">
        <v>110</v>
      </c>
      <c r="R646" s="1">
        <v>5</v>
      </c>
      <c r="S646" s="2"/>
      <c r="T646" s="1" t="s">
        <v>410</v>
      </c>
      <c r="U646" s="3">
        <v>43197</v>
      </c>
      <c r="V646" s="2"/>
      <c r="W646" s="2"/>
      <c r="X646" s="2"/>
      <c r="Y646" s="2"/>
      <c r="Z646" s="1">
        <f ca="1">IF(Table1[[#This Row],[Inactive_Date]]="",DATEDIF(Table1[[#This Row],[Date_Acq]],TODAY(),"m"),DATEDIF(Table1[[#This Row],[Date_Acq]],Table1[[#This Row],[Inactive_Date]],"m"))</f>
        <v>19</v>
      </c>
    </row>
    <row r="647" spans="1:26" s="17" customFormat="1" x14ac:dyDescent="0.4">
      <c r="A647" s="6"/>
      <c r="B647" s="7" t="s">
        <v>1330</v>
      </c>
      <c r="C647" s="4">
        <v>40904</v>
      </c>
      <c r="D647" s="2" t="s">
        <v>102</v>
      </c>
      <c r="E647" s="2" t="s">
        <v>1331</v>
      </c>
      <c r="F647" s="2" t="s">
        <v>1331</v>
      </c>
      <c r="G647" s="2">
        <v>1480.15</v>
      </c>
      <c r="H647" s="21">
        <v>57520</v>
      </c>
      <c r="I647" s="21" t="s">
        <v>796</v>
      </c>
      <c r="J647" s="2" t="s">
        <v>46</v>
      </c>
      <c r="K647" s="2" t="s">
        <v>39</v>
      </c>
      <c r="L647" s="2" t="s">
        <v>35</v>
      </c>
      <c r="M647" s="2"/>
      <c r="N647" s="2" t="s">
        <v>102</v>
      </c>
      <c r="O647" s="2" t="s">
        <v>1332</v>
      </c>
      <c r="P647" s="2" t="s">
        <v>1333</v>
      </c>
      <c r="Q647" s="2" t="s">
        <v>942</v>
      </c>
      <c r="R647" s="1">
        <v>3</v>
      </c>
      <c r="S647" s="2"/>
      <c r="T647" s="1" t="s">
        <v>706</v>
      </c>
      <c r="U647" s="1"/>
      <c r="V647" s="2"/>
      <c r="W647" s="2"/>
      <c r="X647" s="2"/>
      <c r="Y647" s="2"/>
      <c r="Z647" s="1">
        <f ca="1">IF(Table1[[#This Row],[Inactive_Date]]="",DATEDIF(Table1[[#This Row],[Date_Acq]],TODAY(),"m"),DATEDIF(Table1[[#This Row],[Date_Acq]],Table1[[#This Row],[Inactive_Date]],"m"))</f>
        <v>58</v>
      </c>
    </row>
    <row r="648" spans="1:26" s="17" customFormat="1" x14ac:dyDescent="0.4">
      <c r="A648" s="6"/>
      <c r="B648" s="7" t="s">
        <v>1334</v>
      </c>
      <c r="C648" s="4">
        <v>42142</v>
      </c>
      <c r="D648" s="2" t="s">
        <v>665</v>
      </c>
      <c r="E648" s="2" t="s">
        <v>406</v>
      </c>
      <c r="F648" s="2"/>
      <c r="G648" s="2"/>
      <c r="H648" s="21"/>
      <c r="I648" s="21" t="s">
        <v>108</v>
      </c>
      <c r="J648" s="2" t="s">
        <v>46</v>
      </c>
      <c r="K648" s="2" t="s">
        <v>39</v>
      </c>
      <c r="L648" s="2" t="s">
        <v>35</v>
      </c>
      <c r="M648" s="2"/>
      <c r="N648" s="2" t="s">
        <v>306</v>
      </c>
      <c r="O648" s="2"/>
      <c r="P648" s="2" t="s">
        <v>1335</v>
      </c>
      <c r="Q648" s="2" t="s">
        <v>110</v>
      </c>
      <c r="R648" s="1"/>
      <c r="S648" s="2"/>
      <c r="T648" s="1" t="s">
        <v>410</v>
      </c>
      <c r="U648" s="3">
        <v>42478</v>
      </c>
      <c r="V648" s="2"/>
      <c r="W648" s="2"/>
      <c r="X648" s="2"/>
      <c r="Y648" s="2"/>
      <c r="Z648" s="1">
        <f ca="1">IF(Table1[[#This Row],[Inactive_Date]]="",DATEDIF(Table1[[#This Row],[Date_Acq]],TODAY(),"m"),DATEDIF(Table1[[#This Row],[Date_Acq]],Table1[[#This Row],[Inactive_Date]],"m"))</f>
        <v>18</v>
      </c>
    </row>
    <row r="649" spans="1:26" s="17" customFormat="1" x14ac:dyDescent="0.4">
      <c r="A649" s="6"/>
      <c r="B649" s="7" t="s">
        <v>1336</v>
      </c>
      <c r="C649" s="4">
        <v>41024</v>
      </c>
      <c r="D649" s="2" t="s">
        <v>1173</v>
      </c>
      <c r="E649" s="2" t="s">
        <v>1337</v>
      </c>
      <c r="F649" s="2" t="s">
        <v>1337</v>
      </c>
      <c r="G649" s="2">
        <v>1992.4</v>
      </c>
      <c r="H649" s="21">
        <v>57520</v>
      </c>
      <c r="I649" s="21" t="s">
        <v>13</v>
      </c>
      <c r="J649" s="2" t="s">
        <v>46</v>
      </c>
      <c r="K649" s="2" t="s">
        <v>39</v>
      </c>
      <c r="L649" s="2" t="s">
        <v>35</v>
      </c>
      <c r="M649" s="2"/>
      <c r="N649" s="2" t="s">
        <v>1173</v>
      </c>
      <c r="O649" s="2"/>
      <c r="P649" s="2"/>
      <c r="Q649" s="2"/>
      <c r="R649" s="1"/>
      <c r="S649" s="2" t="s">
        <v>1338</v>
      </c>
      <c r="T649" s="1"/>
      <c r="U649" s="1"/>
      <c r="V649" s="2"/>
      <c r="W649" s="2"/>
      <c r="X649" s="2"/>
      <c r="Y649" s="2"/>
      <c r="Z649" s="1">
        <f ca="1">IF(Table1[[#This Row],[Inactive_Date]]="",DATEDIF(Table1[[#This Row],[Date_Acq]],TODAY(),"m"),DATEDIF(Table1[[#This Row],[Date_Acq]],Table1[[#This Row],[Inactive_Date]],"m"))</f>
        <v>54</v>
      </c>
    </row>
    <row r="650" spans="1:26" s="17" customFormat="1" x14ac:dyDescent="0.4">
      <c r="A650" s="6"/>
      <c r="B650" s="7" t="s">
        <v>1339</v>
      </c>
      <c r="C650" s="4">
        <v>40170</v>
      </c>
      <c r="D650" s="2" t="s">
        <v>306</v>
      </c>
      <c r="E650" s="2" t="s">
        <v>1340</v>
      </c>
      <c r="F650" s="2" t="s">
        <v>1341</v>
      </c>
      <c r="G650" s="2">
        <v>2609</v>
      </c>
      <c r="H650" s="21"/>
      <c r="I650" s="21" t="s">
        <v>820</v>
      </c>
      <c r="J650" s="2" t="s">
        <v>46</v>
      </c>
      <c r="K650" s="2" t="s">
        <v>39</v>
      </c>
      <c r="L650" s="2" t="s">
        <v>51</v>
      </c>
      <c r="M650" s="2"/>
      <c r="N650" s="2" t="s">
        <v>306</v>
      </c>
      <c r="O650" s="2" t="s">
        <v>703</v>
      </c>
      <c r="P650" s="2" t="s">
        <v>1342</v>
      </c>
      <c r="Q650" s="2" t="s">
        <v>110</v>
      </c>
      <c r="R650" s="1">
        <v>3</v>
      </c>
      <c r="S650" s="2" t="s">
        <v>1343</v>
      </c>
      <c r="T650" s="1" t="s">
        <v>706</v>
      </c>
      <c r="U650" s="1"/>
      <c r="V650" s="2"/>
      <c r="W650" s="2"/>
      <c r="X650" s="2"/>
      <c r="Y650" s="2"/>
      <c r="Z650" s="1">
        <f ca="1">IF(Table1[[#This Row],[Inactive_Date]]="",DATEDIF(Table1[[#This Row],[Date_Acq]],TODAY(),"m"),DATEDIF(Table1[[#This Row],[Date_Acq]],Table1[[#This Row],[Inactive_Date]],"m"))</f>
        <v>82</v>
      </c>
    </row>
    <row r="651" spans="1:26" s="17" customFormat="1" hidden="1" x14ac:dyDescent="0.4">
      <c r="A651" s="6"/>
      <c r="B651" s="7" t="s">
        <v>1344</v>
      </c>
      <c r="C651" s="2"/>
      <c r="D651" s="2" t="s">
        <v>1251</v>
      </c>
      <c r="E651" s="2" t="s">
        <v>1252</v>
      </c>
      <c r="F651" s="2"/>
      <c r="G651" s="2">
        <v>100</v>
      </c>
      <c r="H651" s="21"/>
      <c r="I651" s="21" t="s">
        <v>13</v>
      </c>
      <c r="J651" s="2" t="s">
        <v>46</v>
      </c>
      <c r="K651" s="2" t="s">
        <v>34</v>
      </c>
      <c r="L651" s="2" t="s">
        <v>35</v>
      </c>
      <c r="M651" s="2"/>
      <c r="N651" s="2" t="s">
        <v>1254</v>
      </c>
      <c r="O651" s="2" t="s">
        <v>1255</v>
      </c>
      <c r="P651" s="2" t="s">
        <v>1345</v>
      </c>
      <c r="Q651" s="2" t="s">
        <v>942</v>
      </c>
      <c r="R651" s="1">
        <v>3</v>
      </c>
      <c r="S651" s="2"/>
      <c r="T651" s="1" t="s">
        <v>706</v>
      </c>
      <c r="U651" s="1"/>
      <c r="V651" s="2"/>
      <c r="W651" s="2"/>
      <c r="X651" s="2"/>
      <c r="Y651" s="2"/>
      <c r="Z651" s="1">
        <f ca="1">IF(Table1[[#This Row],[Inactive_Date]]="",DATEDIF(Table1[[#This Row],[Date_Acq]],TODAY(),"m"),DATEDIF(Table1[[#This Row],[Date_Acq]],Table1[[#This Row],[Inactive_Date]],"m"))</f>
        <v>1402</v>
      </c>
    </row>
    <row r="652" spans="1:26" s="17" customFormat="1" hidden="1" x14ac:dyDescent="0.4">
      <c r="A652" s="6"/>
      <c r="B652" s="7" t="s">
        <v>1346</v>
      </c>
      <c r="C652" s="4">
        <v>41606</v>
      </c>
      <c r="D652" s="2"/>
      <c r="E652" s="2" t="s">
        <v>1347</v>
      </c>
      <c r="F652" s="2"/>
      <c r="G652" s="2">
        <v>227</v>
      </c>
      <c r="H652" s="21"/>
      <c r="I652" s="21" t="s">
        <v>13</v>
      </c>
      <c r="J652" s="2" t="s">
        <v>46</v>
      </c>
      <c r="K652" s="2" t="s">
        <v>34</v>
      </c>
      <c r="L652" s="2" t="s">
        <v>35</v>
      </c>
      <c r="M652" s="2"/>
      <c r="N652" s="2" t="s">
        <v>102</v>
      </c>
      <c r="O652" s="2" t="s">
        <v>1348</v>
      </c>
      <c r="P652" s="2" t="s">
        <v>1349</v>
      </c>
      <c r="Q652" s="2" t="s">
        <v>110</v>
      </c>
      <c r="R652" s="1">
        <v>3</v>
      </c>
      <c r="S652" s="2" t="s">
        <v>1350</v>
      </c>
      <c r="T652" s="1"/>
      <c r="U652" s="3">
        <v>41973</v>
      </c>
      <c r="V652" s="2"/>
      <c r="W652" s="2"/>
      <c r="X652" s="2"/>
      <c r="Y652" s="2"/>
      <c r="Z652" s="1">
        <f ca="1">IF(Table1[[#This Row],[Inactive_Date]]="",DATEDIF(Table1[[#This Row],[Date_Acq]],TODAY(),"m"),DATEDIF(Table1[[#This Row],[Date_Acq]],Table1[[#This Row],[Inactive_Date]],"m"))</f>
        <v>35</v>
      </c>
    </row>
    <row r="653" spans="1:26" s="17" customFormat="1" hidden="1" x14ac:dyDescent="0.4">
      <c r="A653" s="6"/>
      <c r="B653" s="7" t="s">
        <v>1351</v>
      </c>
      <c r="C653" s="2"/>
      <c r="D653" s="2" t="s">
        <v>1251</v>
      </c>
      <c r="E653" s="2" t="s">
        <v>1252</v>
      </c>
      <c r="F653" s="2"/>
      <c r="G653" s="2">
        <v>100</v>
      </c>
      <c r="H653" s="21"/>
      <c r="I653" s="21" t="s">
        <v>13</v>
      </c>
      <c r="J653" s="2" t="s">
        <v>46</v>
      </c>
      <c r="K653" s="2" t="s">
        <v>34</v>
      </c>
      <c r="L653" s="2" t="s">
        <v>35</v>
      </c>
      <c r="M653" s="2"/>
      <c r="N653" s="2" t="s">
        <v>1254</v>
      </c>
      <c r="O653" s="2" t="s">
        <v>1255</v>
      </c>
      <c r="P653" s="2" t="s">
        <v>1352</v>
      </c>
      <c r="Q653" s="2" t="s">
        <v>942</v>
      </c>
      <c r="R653" s="1">
        <v>3</v>
      </c>
      <c r="S653" s="2"/>
      <c r="T653" s="1" t="s">
        <v>706</v>
      </c>
      <c r="U653" s="1"/>
      <c r="V653" s="2"/>
      <c r="W653" s="2"/>
      <c r="X653" s="2"/>
      <c r="Y653" s="2"/>
      <c r="Z653" s="1">
        <f ca="1">IF(Table1[[#This Row],[Inactive_Date]]="",DATEDIF(Table1[[#This Row],[Date_Acq]],TODAY(),"m"),DATEDIF(Table1[[#This Row],[Date_Acq]],Table1[[#This Row],[Inactive_Date]],"m"))</f>
        <v>1402</v>
      </c>
    </row>
    <row r="654" spans="1:26" s="17" customFormat="1" hidden="1" x14ac:dyDescent="0.4">
      <c r="A654" s="6"/>
      <c r="B654" s="7" t="s">
        <v>1353</v>
      </c>
      <c r="C654" s="4">
        <v>42157</v>
      </c>
      <c r="D654" s="2" t="s">
        <v>1354</v>
      </c>
      <c r="E654" s="2" t="s">
        <v>1355</v>
      </c>
      <c r="F654" s="2" t="s">
        <v>1356</v>
      </c>
      <c r="G654" s="2">
        <v>230</v>
      </c>
      <c r="H654" s="21">
        <v>57520</v>
      </c>
      <c r="I654" s="21" t="s">
        <v>13</v>
      </c>
      <c r="J654" s="2" t="s">
        <v>46</v>
      </c>
      <c r="K654" s="2" t="s">
        <v>34</v>
      </c>
      <c r="L654" s="2" t="s">
        <v>35</v>
      </c>
      <c r="M654" s="2"/>
      <c r="N654" s="2" t="s">
        <v>709</v>
      </c>
      <c r="O654" s="2" t="s">
        <v>1357</v>
      </c>
      <c r="P654" s="2" t="s">
        <v>1358</v>
      </c>
      <c r="Q654" s="2" t="s">
        <v>474</v>
      </c>
      <c r="R654" s="1">
        <v>5</v>
      </c>
      <c r="S654" s="2" t="s">
        <v>1359</v>
      </c>
      <c r="T654" s="1" t="s">
        <v>706</v>
      </c>
      <c r="U654" s="3">
        <v>42159</v>
      </c>
      <c r="V654" s="2"/>
      <c r="W654" s="2"/>
      <c r="X654" s="2"/>
      <c r="Y654" s="2"/>
      <c r="Z654" s="1">
        <f ca="1">IF(Table1[[#This Row],[Inactive_Date]]="",DATEDIF(Table1[[#This Row],[Date_Acq]],TODAY(),"m"),DATEDIF(Table1[[#This Row],[Date_Acq]],Table1[[#This Row],[Inactive_Date]],"m"))</f>
        <v>17</v>
      </c>
    </row>
    <row r="655" spans="1:26" s="17" customFormat="1" hidden="1" x14ac:dyDescent="0.4">
      <c r="A655" s="6"/>
      <c r="B655" s="7" t="s">
        <v>1360</v>
      </c>
      <c r="C655" s="4">
        <v>42157</v>
      </c>
      <c r="D655" s="2" t="s">
        <v>1354</v>
      </c>
      <c r="E655" s="2" t="s">
        <v>1355</v>
      </c>
      <c r="F655" s="2" t="s">
        <v>1356</v>
      </c>
      <c r="G655" s="2">
        <v>230</v>
      </c>
      <c r="H655" s="21">
        <v>57520</v>
      </c>
      <c r="I655" s="21" t="s">
        <v>13</v>
      </c>
      <c r="J655" s="2" t="s">
        <v>46</v>
      </c>
      <c r="K655" s="2" t="s">
        <v>34</v>
      </c>
      <c r="L655" s="2" t="s">
        <v>35</v>
      </c>
      <c r="M655" s="2"/>
      <c r="N655" s="2" t="s">
        <v>709</v>
      </c>
      <c r="O655" s="2" t="s">
        <v>1357</v>
      </c>
      <c r="P655" s="2" t="s">
        <v>1361</v>
      </c>
      <c r="Q655" s="2" t="s">
        <v>474</v>
      </c>
      <c r="R655" s="1">
        <v>5</v>
      </c>
      <c r="S655" s="2" t="s">
        <v>1359</v>
      </c>
      <c r="T655" s="1" t="s">
        <v>706</v>
      </c>
      <c r="U655" s="3">
        <v>42159</v>
      </c>
      <c r="V655" s="2"/>
      <c r="W655" s="2"/>
      <c r="X655" s="2"/>
      <c r="Y655" s="2"/>
      <c r="Z655" s="1">
        <f ca="1">IF(Table1[[#This Row],[Inactive_Date]]="",DATEDIF(Table1[[#This Row],[Date_Acq]],TODAY(),"m"),DATEDIF(Table1[[#This Row],[Date_Acq]],Table1[[#This Row],[Inactive_Date]],"m"))</f>
        <v>17</v>
      </c>
    </row>
    <row r="656" spans="1:26" s="17" customFormat="1" hidden="1" x14ac:dyDescent="0.4">
      <c r="A656" s="6"/>
      <c r="B656" s="7" t="s">
        <v>1362</v>
      </c>
      <c r="C656" s="4">
        <v>42157</v>
      </c>
      <c r="D656" s="2" t="s">
        <v>1354</v>
      </c>
      <c r="E656" s="2" t="s">
        <v>1355</v>
      </c>
      <c r="F656" s="2" t="s">
        <v>1356</v>
      </c>
      <c r="G656" s="2">
        <v>230</v>
      </c>
      <c r="H656" s="21">
        <v>57520</v>
      </c>
      <c r="I656" s="21" t="s">
        <v>13</v>
      </c>
      <c r="J656" s="2" t="s">
        <v>46</v>
      </c>
      <c r="K656" s="2" t="s">
        <v>34</v>
      </c>
      <c r="L656" s="2" t="s">
        <v>35</v>
      </c>
      <c r="M656" s="2"/>
      <c r="N656" s="2" t="s">
        <v>709</v>
      </c>
      <c r="O656" s="2" t="s">
        <v>1357</v>
      </c>
      <c r="P656" s="2" t="s">
        <v>1363</v>
      </c>
      <c r="Q656" s="2" t="s">
        <v>474</v>
      </c>
      <c r="R656" s="1">
        <v>5</v>
      </c>
      <c r="S656" s="2" t="s">
        <v>1359</v>
      </c>
      <c r="T656" s="1" t="s">
        <v>706</v>
      </c>
      <c r="U656" s="3">
        <v>42159</v>
      </c>
      <c r="V656" s="2"/>
      <c r="W656" s="2"/>
      <c r="X656" s="2"/>
      <c r="Y656" s="2"/>
      <c r="Z656" s="1">
        <f ca="1">IF(Table1[[#This Row],[Inactive_Date]]="",DATEDIF(Table1[[#This Row],[Date_Acq]],TODAY(),"m"),DATEDIF(Table1[[#This Row],[Date_Acq]],Table1[[#This Row],[Inactive_Date]],"m"))</f>
        <v>17</v>
      </c>
    </row>
    <row r="657" spans="1:26" s="17" customFormat="1" hidden="1" x14ac:dyDescent="0.4">
      <c r="A657" s="6"/>
      <c r="B657" s="7" t="s">
        <v>1364</v>
      </c>
      <c r="C657" s="4">
        <v>42152</v>
      </c>
      <c r="D657" s="2" t="s">
        <v>1365</v>
      </c>
      <c r="E657" s="2" t="s">
        <v>1366</v>
      </c>
      <c r="F657" s="2" t="s">
        <v>1367</v>
      </c>
      <c r="G657" s="2">
        <v>280.25</v>
      </c>
      <c r="H657" s="21">
        <v>57520</v>
      </c>
      <c r="I657" s="21" t="s">
        <v>13</v>
      </c>
      <c r="J657" s="2" t="s">
        <v>46</v>
      </c>
      <c r="K657" s="2" t="s">
        <v>34</v>
      </c>
      <c r="L657" s="2" t="s">
        <v>35</v>
      </c>
      <c r="M657" s="2"/>
      <c r="N657" s="2" t="s">
        <v>1368</v>
      </c>
      <c r="O657" s="2" t="s">
        <v>1369</v>
      </c>
      <c r="P657" s="2" t="s">
        <v>1370</v>
      </c>
      <c r="Q657" s="2" t="s">
        <v>711</v>
      </c>
      <c r="R657" s="1">
        <v>5</v>
      </c>
      <c r="S657" s="2" t="s">
        <v>1359</v>
      </c>
      <c r="T657" s="1" t="s">
        <v>410</v>
      </c>
      <c r="U657" s="3">
        <v>42518</v>
      </c>
      <c r="V657" s="2"/>
      <c r="W657" s="2"/>
      <c r="X657" s="2"/>
      <c r="Y657" s="2"/>
      <c r="Z657" s="1">
        <f ca="1">IF(Table1[[#This Row],[Inactive_Date]]="",DATEDIF(Table1[[#This Row],[Date_Acq]],TODAY(),"m"),DATEDIF(Table1[[#This Row],[Date_Acq]],Table1[[#This Row],[Inactive_Date]],"m"))</f>
        <v>17</v>
      </c>
    </row>
    <row r="658" spans="1:26" s="17" customFormat="1" x14ac:dyDescent="0.4">
      <c r="A658" s="6"/>
      <c r="B658" s="7" t="s">
        <v>1371</v>
      </c>
      <c r="C658" s="4">
        <v>42165</v>
      </c>
      <c r="D658" s="2" t="s">
        <v>947</v>
      </c>
      <c r="E658" s="2" t="s">
        <v>1372</v>
      </c>
      <c r="F658" s="2"/>
      <c r="G658" s="2"/>
      <c r="H658" s="21"/>
      <c r="I658" s="21" t="s">
        <v>108</v>
      </c>
      <c r="J658" s="2" t="s">
        <v>46</v>
      </c>
      <c r="K658" s="2" t="s">
        <v>39</v>
      </c>
      <c r="L658" s="2" t="s">
        <v>35</v>
      </c>
      <c r="M658" s="2"/>
      <c r="N658" s="2" t="s">
        <v>306</v>
      </c>
      <c r="O658" s="2" t="s">
        <v>1373</v>
      </c>
      <c r="P658" s="2" t="s">
        <v>1064</v>
      </c>
      <c r="Q658" s="2" t="s">
        <v>942</v>
      </c>
      <c r="R658" s="1">
        <v>5</v>
      </c>
      <c r="S658" s="2" t="s">
        <v>1374</v>
      </c>
      <c r="T658" s="1"/>
      <c r="U658" s="1"/>
      <c r="V658" s="2"/>
      <c r="W658" s="2"/>
      <c r="X658" s="2"/>
      <c r="Y658" s="2"/>
      <c r="Z658" s="1">
        <f ca="1">IF(Table1[[#This Row],[Inactive_Date]]="",DATEDIF(Table1[[#This Row],[Date_Acq]],TODAY(),"m"),DATEDIF(Table1[[#This Row],[Date_Acq]],Table1[[#This Row],[Inactive_Date]],"m"))</f>
        <v>17</v>
      </c>
    </row>
    <row r="659" spans="1:26" s="17" customFormat="1" hidden="1" x14ac:dyDescent="0.4">
      <c r="A659" s="6"/>
      <c r="B659" s="7" t="s">
        <v>1375</v>
      </c>
      <c r="C659" s="4">
        <v>41716</v>
      </c>
      <c r="D659" s="2" t="s">
        <v>1376</v>
      </c>
      <c r="E659" s="2" t="s">
        <v>1377</v>
      </c>
      <c r="F659" s="2" t="s">
        <v>1377</v>
      </c>
      <c r="G659" s="2">
        <v>299.85000000000002</v>
      </c>
      <c r="H659" s="21">
        <v>57520</v>
      </c>
      <c r="I659" s="21" t="s">
        <v>108</v>
      </c>
      <c r="J659" s="2" t="s">
        <v>46</v>
      </c>
      <c r="K659" s="2" t="s">
        <v>34</v>
      </c>
      <c r="L659" s="2" t="s">
        <v>35</v>
      </c>
      <c r="M659" s="2"/>
      <c r="N659" s="2" t="s">
        <v>1376</v>
      </c>
      <c r="O659" s="2" t="s">
        <v>1378</v>
      </c>
      <c r="P659" s="2" t="s">
        <v>1379</v>
      </c>
      <c r="Q659" s="2"/>
      <c r="R659" s="1"/>
      <c r="S659" s="2" t="s">
        <v>1380</v>
      </c>
      <c r="T659" s="1"/>
      <c r="U659" s="1"/>
      <c r="V659" s="2"/>
      <c r="W659" s="2"/>
      <c r="X659" s="2"/>
      <c r="Y659" s="2"/>
      <c r="Z659" s="1">
        <f ca="1">IF(Table1[[#This Row],[Inactive_Date]]="",DATEDIF(Table1[[#This Row],[Date_Acq]],TODAY(),"m"),DATEDIF(Table1[[#This Row],[Date_Acq]],Table1[[#This Row],[Inactive_Date]],"m"))</f>
        <v>32</v>
      </c>
    </row>
    <row r="660" spans="1:26" s="17" customFormat="1" x14ac:dyDescent="0.4">
      <c r="A660" s="6"/>
      <c r="B660" s="7" t="s">
        <v>1381</v>
      </c>
      <c r="C660" s="4">
        <v>41761</v>
      </c>
      <c r="D660" s="2" t="s">
        <v>1382</v>
      </c>
      <c r="E660" s="2" t="s">
        <v>703</v>
      </c>
      <c r="F660" s="2" t="s">
        <v>703</v>
      </c>
      <c r="G660" s="2">
        <v>1839</v>
      </c>
      <c r="H660" s="21">
        <v>57520</v>
      </c>
      <c r="I660" s="21" t="s">
        <v>108</v>
      </c>
      <c r="J660" s="2" t="s">
        <v>46</v>
      </c>
      <c r="K660" s="2" t="s">
        <v>39</v>
      </c>
      <c r="L660" s="2" t="s">
        <v>35</v>
      </c>
      <c r="M660" s="2"/>
      <c r="N660" s="2" t="s">
        <v>306</v>
      </c>
      <c r="O660" s="2" t="s">
        <v>703</v>
      </c>
      <c r="P660" s="2" t="s">
        <v>1383</v>
      </c>
      <c r="Q660" s="2" t="s">
        <v>446</v>
      </c>
      <c r="R660" s="1">
        <v>3</v>
      </c>
      <c r="S660" s="2" t="s">
        <v>1384</v>
      </c>
      <c r="T660" s="1"/>
      <c r="U660" s="1"/>
      <c r="V660" s="2"/>
      <c r="W660" s="2"/>
      <c r="X660" s="2"/>
      <c r="Y660" s="2"/>
      <c r="Z660" s="1">
        <f ca="1">IF(Table1[[#This Row],[Inactive_Date]]="",DATEDIF(Table1[[#This Row],[Date_Acq]],TODAY(),"m"),DATEDIF(Table1[[#This Row],[Date_Acq]],Table1[[#This Row],[Inactive_Date]],"m"))</f>
        <v>30</v>
      </c>
    </row>
    <row r="661" spans="1:26" s="17" customFormat="1" x14ac:dyDescent="0.4">
      <c r="A661" s="6"/>
      <c r="B661" s="7" t="s">
        <v>1385</v>
      </c>
      <c r="C661" s="2"/>
      <c r="D661" s="2" t="s">
        <v>1044</v>
      </c>
      <c r="E661" s="2" t="s">
        <v>1386</v>
      </c>
      <c r="F661" s="2">
        <v>1570</v>
      </c>
      <c r="G661" s="2"/>
      <c r="H661" s="21"/>
      <c r="I661" s="21" t="s">
        <v>796</v>
      </c>
      <c r="J661" s="2" t="s">
        <v>46</v>
      </c>
      <c r="K661" s="2" t="s">
        <v>39</v>
      </c>
      <c r="L661" s="2" t="s">
        <v>35</v>
      </c>
      <c r="M661" s="2"/>
      <c r="N661" s="2" t="s">
        <v>1044</v>
      </c>
      <c r="O661" s="2" t="s">
        <v>1387</v>
      </c>
      <c r="P661" s="2"/>
      <c r="Q661" s="2" t="s">
        <v>446</v>
      </c>
      <c r="R661" s="1">
        <v>5</v>
      </c>
      <c r="S661" s="2" t="s">
        <v>1388</v>
      </c>
      <c r="T661" s="1" t="s">
        <v>410</v>
      </c>
      <c r="U661" s="3">
        <v>42165</v>
      </c>
      <c r="V661" s="2"/>
      <c r="W661" s="2"/>
      <c r="X661" s="2"/>
      <c r="Y661" s="2"/>
      <c r="Z661" s="1">
        <f ca="1">IF(Table1[[#This Row],[Inactive_Date]]="",DATEDIF(Table1[[#This Row],[Date_Acq]],TODAY(),"m"),DATEDIF(Table1[[#This Row],[Date_Acq]],Table1[[#This Row],[Inactive_Date]],"m"))</f>
        <v>1402</v>
      </c>
    </row>
    <row r="662" spans="1:26" s="17" customFormat="1" x14ac:dyDescent="0.4">
      <c r="A662" s="6"/>
      <c r="B662" s="7" t="s">
        <v>1389</v>
      </c>
      <c r="C662" s="2"/>
      <c r="D662" s="2" t="s">
        <v>975</v>
      </c>
      <c r="E662" s="2" t="s">
        <v>976</v>
      </c>
      <c r="F662" s="2" t="s">
        <v>977</v>
      </c>
      <c r="G662" s="2"/>
      <c r="H662" s="21"/>
      <c r="I662" s="21" t="s">
        <v>796</v>
      </c>
      <c r="J662" s="2" t="s">
        <v>46</v>
      </c>
      <c r="K662" s="2" t="s">
        <v>39</v>
      </c>
      <c r="L662" s="2" t="s">
        <v>35</v>
      </c>
      <c r="M662" s="2"/>
      <c r="N662" s="2" t="s">
        <v>975</v>
      </c>
      <c r="O662" s="2" t="s">
        <v>978</v>
      </c>
      <c r="P662" s="2" t="s">
        <v>1390</v>
      </c>
      <c r="Q662" s="2" t="s">
        <v>942</v>
      </c>
      <c r="R662" s="1">
        <v>5</v>
      </c>
      <c r="S662" s="2" t="s">
        <v>1391</v>
      </c>
      <c r="T662" s="1" t="s">
        <v>410</v>
      </c>
      <c r="U662" s="1"/>
      <c r="V662" s="2"/>
      <c r="W662" s="2"/>
      <c r="X662" s="2"/>
      <c r="Y662" s="2"/>
      <c r="Z662" s="1">
        <f ca="1">IF(Table1[[#This Row],[Inactive_Date]]="",DATEDIF(Table1[[#This Row],[Date_Acq]],TODAY(),"m"),DATEDIF(Table1[[#This Row],[Date_Acq]],Table1[[#This Row],[Inactive_Date]],"m"))</f>
        <v>1402</v>
      </c>
    </row>
    <row r="663" spans="1:26" s="17" customFormat="1" x14ac:dyDescent="0.4">
      <c r="A663" s="6"/>
      <c r="B663" s="7" t="s">
        <v>1392</v>
      </c>
      <c r="C663" s="2"/>
      <c r="D663" s="2" t="s">
        <v>975</v>
      </c>
      <c r="E663" s="2" t="s">
        <v>976</v>
      </c>
      <c r="F663" s="2" t="s">
        <v>977</v>
      </c>
      <c r="G663" s="2"/>
      <c r="H663" s="21"/>
      <c r="I663" s="21" t="s">
        <v>108</v>
      </c>
      <c r="J663" s="2" t="s">
        <v>46</v>
      </c>
      <c r="K663" s="2" t="s">
        <v>39</v>
      </c>
      <c r="L663" s="2" t="s">
        <v>35</v>
      </c>
      <c r="M663" s="2"/>
      <c r="N663" s="2" t="s">
        <v>975</v>
      </c>
      <c r="O663" s="2" t="s">
        <v>1393</v>
      </c>
      <c r="P663" s="2" t="s">
        <v>1394</v>
      </c>
      <c r="Q663" s="2" t="s">
        <v>942</v>
      </c>
      <c r="R663" s="1">
        <v>5</v>
      </c>
      <c r="S663" s="2" t="s">
        <v>1395</v>
      </c>
      <c r="T663" s="1" t="s">
        <v>410</v>
      </c>
      <c r="U663" s="1"/>
      <c r="V663" s="2"/>
      <c r="W663" s="2"/>
      <c r="X663" s="2"/>
      <c r="Y663" s="2"/>
      <c r="Z663" s="1">
        <f ca="1">IF(Table1[[#This Row],[Inactive_Date]]="",DATEDIF(Table1[[#This Row],[Date_Acq]],TODAY(),"m"),DATEDIF(Table1[[#This Row],[Date_Acq]],Table1[[#This Row],[Inactive_Date]],"m"))</f>
        <v>1402</v>
      </c>
    </row>
    <row r="664" spans="1:26" s="17" customFormat="1" x14ac:dyDescent="0.4">
      <c r="A664" s="6"/>
      <c r="B664" s="7" t="s">
        <v>1396</v>
      </c>
      <c r="C664" s="4">
        <v>42005</v>
      </c>
      <c r="D664" s="2" t="s">
        <v>306</v>
      </c>
      <c r="E664" s="2" t="s">
        <v>1397</v>
      </c>
      <c r="F664" s="2" t="s">
        <v>1398</v>
      </c>
      <c r="G664" s="2"/>
      <c r="H664" s="21"/>
      <c r="I664" s="21" t="s">
        <v>13</v>
      </c>
      <c r="J664" s="2" t="s">
        <v>46</v>
      </c>
      <c r="K664" s="2" t="s">
        <v>39</v>
      </c>
      <c r="L664" s="2" t="s">
        <v>35</v>
      </c>
      <c r="M664" s="2"/>
      <c r="N664" s="2" t="s">
        <v>306</v>
      </c>
      <c r="O664" s="2" t="s">
        <v>1373</v>
      </c>
      <c r="P664" s="2" t="s">
        <v>941</v>
      </c>
      <c r="Q664" s="2" t="s">
        <v>49</v>
      </c>
      <c r="R664" s="1"/>
      <c r="S664" s="2"/>
      <c r="T664" s="1"/>
      <c r="U664" s="1"/>
      <c r="V664" s="2"/>
      <c r="W664" s="2"/>
      <c r="X664" s="2"/>
      <c r="Y664" s="2"/>
      <c r="Z664" s="1">
        <f ca="1">IF(Table1[[#This Row],[Inactive_Date]]="",DATEDIF(Table1[[#This Row],[Date_Acq]],TODAY(),"m"),DATEDIF(Table1[[#This Row],[Date_Acq]],Table1[[#This Row],[Inactive_Date]],"m"))</f>
        <v>22</v>
      </c>
    </row>
    <row r="665" spans="1:26" s="17" customFormat="1" x14ac:dyDescent="0.4">
      <c r="A665" s="6"/>
      <c r="B665" s="7" t="s">
        <v>1399</v>
      </c>
      <c r="C665" s="2"/>
      <c r="D665" s="2"/>
      <c r="E665" s="2" t="s">
        <v>1400</v>
      </c>
      <c r="F665" s="2"/>
      <c r="G665" s="2"/>
      <c r="H665" s="21"/>
      <c r="I665" s="21"/>
      <c r="J665" s="2" t="s">
        <v>46</v>
      </c>
      <c r="K665" s="2" t="s">
        <v>39</v>
      </c>
      <c r="L665" s="2" t="s">
        <v>35</v>
      </c>
      <c r="M665" s="2"/>
      <c r="N665" s="2" t="s">
        <v>1401</v>
      </c>
      <c r="O665" s="2"/>
      <c r="P665" s="2"/>
      <c r="Q665" s="2" t="s">
        <v>49</v>
      </c>
      <c r="R665" s="1"/>
      <c r="S665" s="2"/>
      <c r="T665" s="1"/>
      <c r="U665" s="1"/>
      <c r="V665" s="2"/>
      <c r="W665" s="2"/>
      <c r="X665" s="2"/>
      <c r="Y665" s="2"/>
      <c r="Z665" s="1">
        <f ca="1">IF(Table1[[#This Row],[Inactive_Date]]="",DATEDIF(Table1[[#This Row],[Date_Acq]],TODAY(),"m"),DATEDIF(Table1[[#This Row],[Date_Acq]],Table1[[#This Row],[Inactive_Date]],"m"))</f>
        <v>1402</v>
      </c>
    </row>
    <row r="666" spans="1:26" s="17" customFormat="1" x14ac:dyDescent="0.4">
      <c r="A666" s="6"/>
      <c r="B666" s="7" t="s">
        <v>1402</v>
      </c>
      <c r="C666" s="2"/>
      <c r="D666" s="2"/>
      <c r="E666" s="2" t="s">
        <v>1403</v>
      </c>
      <c r="F666" s="2" t="s">
        <v>1404</v>
      </c>
      <c r="G666" s="2"/>
      <c r="H666" s="21"/>
      <c r="I666" s="21"/>
      <c r="J666" s="2" t="s">
        <v>46</v>
      </c>
      <c r="K666" s="2" t="s">
        <v>39</v>
      </c>
      <c r="L666" s="2" t="s">
        <v>35</v>
      </c>
      <c r="M666" s="2"/>
      <c r="N666" s="2" t="s">
        <v>1401</v>
      </c>
      <c r="O666" s="2" t="s">
        <v>1405</v>
      </c>
      <c r="P666" s="2"/>
      <c r="Q666" s="2" t="s">
        <v>49</v>
      </c>
      <c r="R666" s="1"/>
      <c r="S666" s="2"/>
      <c r="T666" s="1"/>
      <c r="U666" s="1"/>
      <c r="V666" s="2"/>
      <c r="W666" s="2"/>
      <c r="X666" s="2"/>
      <c r="Y666" s="2"/>
      <c r="Z666" s="1">
        <f ca="1">IF(Table1[[#This Row],[Inactive_Date]]="",DATEDIF(Table1[[#This Row],[Date_Acq]],TODAY(),"m"),DATEDIF(Table1[[#This Row],[Date_Acq]],Table1[[#This Row],[Inactive_Date]],"m"))</f>
        <v>1402</v>
      </c>
    </row>
    <row r="667" spans="1:26" s="17" customFormat="1" x14ac:dyDescent="0.4">
      <c r="A667" s="6"/>
      <c r="B667" s="7" t="s">
        <v>1406</v>
      </c>
      <c r="C667" s="4">
        <v>42005</v>
      </c>
      <c r="D667" s="2"/>
      <c r="E667" s="2" t="s">
        <v>1407</v>
      </c>
      <c r="F667" s="2" t="s">
        <v>1404</v>
      </c>
      <c r="G667" s="2"/>
      <c r="H667" s="21"/>
      <c r="I667" s="21"/>
      <c r="J667" s="2" t="s">
        <v>46</v>
      </c>
      <c r="K667" s="2" t="s">
        <v>39</v>
      </c>
      <c r="L667" s="2" t="s">
        <v>35</v>
      </c>
      <c r="M667" s="2"/>
      <c r="N667" s="2" t="s">
        <v>975</v>
      </c>
      <c r="O667" s="2" t="s">
        <v>977</v>
      </c>
      <c r="P667" s="2"/>
      <c r="Q667" s="2" t="s">
        <v>49</v>
      </c>
      <c r="R667" s="1"/>
      <c r="S667" s="2"/>
      <c r="T667" s="1"/>
      <c r="U667" s="1"/>
      <c r="V667" s="2"/>
      <c r="W667" s="2"/>
      <c r="X667" s="2"/>
      <c r="Y667" s="2"/>
      <c r="Z667" s="1">
        <f ca="1">IF(Table1[[#This Row],[Inactive_Date]]="",DATEDIF(Table1[[#This Row],[Date_Acq]],TODAY(),"m"),DATEDIF(Table1[[#This Row],[Date_Acq]],Table1[[#This Row],[Inactive_Date]],"m"))</f>
        <v>22</v>
      </c>
    </row>
    <row r="668" spans="1:26" s="17" customFormat="1" hidden="1" x14ac:dyDescent="0.4">
      <c r="A668" s="6"/>
      <c r="B668" s="7" t="s">
        <v>1408</v>
      </c>
      <c r="C668" s="2"/>
      <c r="D668" s="2"/>
      <c r="E668" s="2" t="s">
        <v>1409</v>
      </c>
      <c r="F668" s="2" t="s">
        <v>1410</v>
      </c>
      <c r="G668" s="2"/>
      <c r="H668" s="21"/>
      <c r="I668" s="21"/>
      <c r="J668" s="2" t="s">
        <v>46</v>
      </c>
      <c r="K668" s="2" t="s">
        <v>34</v>
      </c>
      <c r="L668" s="2" t="s">
        <v>35</v>
      </c>
      <c r="M668" s="2"/>
      <c r="N668" s="2" t="s">
        <v>1401</v>
      </c>
      <c r="O668" s="2"/>
      <c r="P668" s="2"/>
      <c r="Q668" s="2" t="s">
        <v>49</v>
      </c>
      <c r="R668" s="1"/>
      <c r="S668" s="2"/>
      <c r="T668" s="1"/>
      <c r="U668" s="1"/>
      <c r="V668" s="2"/>
      <c r="W668" s="2"/>
      <c r="X668" s="2"/>
      <c r="Y668" s="2"/>
      <c r="Z668" s="1">
        <f ca="1">IF(Table1[[#This Row],[Inactive_Date]]="",DATEDIF(Table1[[#This Row],[Date_Acq]],TODAY(),"m"),DATEDIF(Table1[[#This Row],[Date_Acq]],Table1[[#This Row],[Inactive_Date]],"m"))</f>
        <v>1402</v>
      </c>
    </row>
    <row r="669" spans="1:26" s="17" customFormat="1" x14ac:dyDescent="0.4">
      <c r="A669" s="6"/>
      <c r="B669" s="7" t="s">
        <v>1411</v>
      </c>
      <c r="C669" s="2"/>
      <c r="D669" s="2"/>
      <c r="E669" s="2" t="s">
        <v>1403</v>
      </c>
      <c r="F669" s="2" t="s">
        <v>1410</v>
      </c>
      <c r="G669" s="2"/>
      <c r="H669" s="21"/>
      <c r="I669" s="21"/>
      <c r="J669" s="2" t="s">
        <v>46</v>
      </c>
      <c r="K669" s="2" t="s">
        <v>39</v>
      </c>
      <c r="L669" s="2" t="s">
        <v>35</v>
      </c>
      <c r="M669" s="2"/>
      <c r="N669" s="2" t="s">
        <v>1401</v>
      </c>
      <c r="O669" s="2"/>
      <c r="P669" s="2"/>
      <c r="Q669" s="2" t="s">
        <v>49</v>
      </c>
      <c r="R669" s="1"/>
      <c r="S669" s="2"/>
      <c r="T669" s="1"/>
      <c r="U669" s="1"/>
      <c r="V669" s="2"/>
      <c r="W669" s="2"/>
      <c r="X669" s="2"/>
      <c r="Y669" s="2"/>
      <c r="Z669" s="1">
        <f ca="1">IF(Table1[[#This Row],[Inactive_Date]]="",DATEDIF(Table1[[#This Row],[Date_Acq]],TODAY(),"m"),DATEDIF(Table1[[#This Row],[Date_Acq]],Table1[[#This Row],[Inactive_Date]],"m"))</f>
        <v>1402</v>
      </c>
    </row>
    <row r="670" spans="1:26" s="17" customFormat="1" x14ac:dyDescent="0.4">
      <c r="A670" s="6"/>
      <c r="B670" s="7" t="s">
        <v>1412</v>
      </c>
      <c r="C670" s="2"/>
      <c r="D670" s="2"/>
      <c r="E670" s="2" t="s">
        <v>1413</v>
      </c>
      <c r="F670" s="2" t="s">
        <v>1414</v>
      </c>
      <c r="G670" s="2"/>
      <c r="H670" s="21"/>
      <c r="I670" s="21"/>
      <c r="J670" s="2" t="s">
        <v>46</v>
      </c>
      <c r="K670" s="2" t="s">
        <v>39</v>
      </c>
      <c r="L670" s="2" t="s">
        <v>35</v>
      </c>
      <c r="M670" s="2"/>
      <c r="N670" s="2" t="s">
        <v>975</v>
      </c>
      <c r="O670" s="2" t="s">
        <v>1415</v>
      </c>
      <c r="P670" s="2"/>
      <c r="Q670" s="2" t="s">
        <v>49</v>
      </c>
      <c r="R670" s="1"/>
      <c r="S670" s="2"/>
      <c r="T670" s="1"/>
      <c r="U670" s="1"/>
      <c r="V670" s="2"/>
      <c r="W670" s="2"/>
      <c r="X670" s="2"/>
      <c r="Y670" s="2"/>
      <c r="Z670" s="1">
        <f ca="1">IF(Table1[[#This Row],[Inactive_Date]]="",DATEDIF(Table1[[#This Row],[Date_Acq]],TODAY(),"m"),DATEDIF(Table1[[#This Row],[Date_Acq]],Table1[[#This Row],[Inactive_Date]],"m"))</f>
        <v>1402</v>
      </c>
    </row>
    <row r="671" spans="1:26" s="17" customFormat="1" x14ac:dyDescent="0.4">
      <c r="A671" s="6"/>
      <c r="B671" s="7" t="s">
        <v>1416</v>
      </c>
      <c r="C671" s="2"/>
      <c r="D671" s="2"/>
      <c r="E671" s="2" t="s">
        <v>1164</v>
      </c>
      <c r="F671" s="2" t="s">
        <v>1417</v>
      </c>
      <c r="G671" s="2"/>
      <c r="H671" s="21"/>
      <c r="I671" s="21"/>
      <c r="J671" s="2" t="s">
        <v>46</v>
      </c>
      <c r="K671" s="2" t="s">
        <v>39</v>
      </c>
      <c r="L671" s="2" t="s">
        <v>35</v>
      </c>
      <c r="M671" s="2"/>
      <c r="N671" s="2" t="s">
        <v>975</v>
      </c>
      <c r="O671" s="2" t="s">
        <v>977</v>
      </c>
      <c r="P671" s="2"/>
      <c r="Q671" s="2" t="s">
        <v>49</v>
      </c>
      <c r="R671" s="1"/>
      <c r="S671" s="2" t="s">
        <v>1418</v>
      </c>
      <c r="T671" s="1"/>
      <c r="U671" s="1"/>
      <c r="V671" s="2"/>
      <c r="W671" s="2"/>
      <c r="X671" s="2"/>
      <c r="Y671" s="2"/>
      <c r="Z671" s="1">
        <f ca="1">IF(Table1[[#This Row],[Inactive_Date]]="",DATEDIF(Table1[[#This Row],[Date_Acq]],TODAY(),"m"),DATEDIF(Table1[[#This Row],[Date_Acq]],Table1[[#This Row],[Inactive_Date]],"m"))</f>
        <v>1402</v>
      </c>
    </row>
    <row r="672" spans="1:26" s="17" customFormat="1" x14ac:dyDescent="0.4">
      <c r="A672" s="6"/>
      <c r="B672" s="7" t="s">
        <v>1419</v>
      </c>
      <c r="C672" s="2"/>
      <c r="D672" s="2"/>
      <c r="E672" s="2" t="s">
        <v>1164</v>
      </c>
      <c r="F672" s="2" t="s">
        <v>1420</v>
      </c>
      <c r="G672" s="2"/>
      <c r="H672" s="21"/>
      <c r="I672" s="21"/>
      <c r="J672" s="2" t="s">
        <v>46</v>
      </c>
      <c r="K672" s="2" t="s">
        <v>39</v>
      </c>
      <c r="L672" s="2" t="s">
        <v>35</v>
      </c>
      <c r="M672" s="2"/>
      <c r="N672" s="2" t="s">
        <v>975</v>
      </c>
      <c r="O672" s="2" t="s">
        <v>977</v>
      </c>
      <c r="P672" s="2"/>
      <c r="Q672" s="2" t="s">
        <v>49</v>
      </c>
      <c r="R672" s="1"/>
      <c r="S672" s="2" t="s">
        <v>1421</v>
      </c>
      <c r="T672" s="1"/>
      <c r="U672" s="1"/>
      <c r="V672" s="2"/>
      <c r="W672" s="2"/>
      <c r="X672" s="2"/>
      <c r="Y672" s="2"/>
      <c r="Z672" s="1">
        <f ca="1">IF(Table1[[#This Row],[Inactive_Date]]="",DATEDIF(Table1[[#This Row],[Date_Acq]],TODAY(),"m"),DATEDIF(Table1[[#This Row],[Date_Acq]],Table1[[#This Row],[Inactive_Date]],"m"))</f>
        <v>1402</v>
      </c>
    </row>
    <row r="673" spans="1:26" s="17" customFormat="1" x14ac:dyDescent="0.4">
      <c r="A673" s="6"/>
      <c r="B673" s="7" t="s">
        <v>1422</v>
      </c>
      <c r="C673" s="4">
        <v>42211</v>
      </c>
      <c r="D673" s="2" t="s">
        <v>405</v>
      </c>
      <c r="E673" s="2" t="s">
        <v>703</v>
      </c>
      <c r="F673" s="2" t="s">
        <v>1423</v>
      </c>
      <c r="G673" s="2">
        <v>1379</v>
      </c>
      <c r="H673" s="21">
        <v>57520</v>
      </c>
      <c r="I673" s="21" t="s">
        <v>13</v>
      </c>
      <c r="J673" s="2" t="s">
        <v>46</v>
      </c>
      <c r="K673" s="2" t="s">
        <v>39</v>
      </c>
      <c r="L673" s="2" t="s">
        <v>35</v>
      </c>
      <c r="M673" s="2"/>
      <c r="N673" s="2" t="s">
        <v>306</v>
      </c>
      <c r="O673" s="2" t="s">
        <v>1424</v>
      </c>
      <c r="P673" s="2" t="s">
        <v>1425</v>
      </c>
      <c r="Q673" s="2" t="s">
        <v>446</v>
      </c>
      <c r="R673" s="1">
        <v>3</v>
      </c>
      <c r="S673" s="2" t="s">
        <v>1426</v>
      </c>
      <c r="T673" s="1" t="s">
        <v>410</v>
      </c>
      <c r="U673" s="3">
        <v>42583</v>
      </c>
      <c r="V673" s="2"/>
      <c r="W673" s="2"/>
      <c r="X673" s="2"/>
      <c r="Y673" s="2"/>
      <c r="Z673" s="1">
        <f ca="1">IF(Table1[[#This Row],[Inactive_Date]]="",DATEDIF(Table1[[#This Row],[Date_Acq]],TODAY(),"m"),DATEDIF(Table1[[#This Row],[Date_Acq]],Table1[[#This Row],[Inactive_Date]],"m"))</f>
        <v>15</v>
      </c>
    </row>
    <row r="674" spans="1:26" s="17" customFormat="1" x14ac:dyDescent="0.4">
      <c r="A674" s="6"/>
      <c r="B674" s="7" t="s">
        <v>1427</v>
      </c>
      <c r="C674" s="2"/>
      <c r="D674" s="2"/>
      <c r="E674" s="2" t="s">
        <v>1428</v>
      </c>
      <c r="F674" s="2"/>
      <c r="G674" s="2"/>
      <c r="H674" s="21"/>
      <c r="I674" s="21"/>
      <c r="J674" s="2" t="s">
        <v>46</v>
      </c>
      <c r="K674" s="2" t="s">
        <v>39</v>
      </c>
      <c r="L674" s="2" t="s">
        <v>35</v>
      </c>
      <c r="M674" s="2"/>
      <c r="N674" s="2" t="s">
        <v>1429</v>
      </c>
      <c r="O674" s="2" t="s">
        <v>1430</v>
      </c>
      <c r="P674" s="2"/>
      <c r="Q674" s="2" t="s">
        <v>1008</v>
      </c>
      <c r="R674" s="1"/>
      <c r="S674" s="2"/>
      <c r="T674" s="1"/>
      <c r="U674" s="1"/>
      <c r="V674" s="2"/>
      <c r="W674" s="2"/>
      <c r="X674" s="2"/>
      <c r="Y674" s="2"/>
      <c r="Z674" s="1">
        <f ca="1">IF(Table1[[#This Row],[Inactive_Date]]="",DATEDIF(Table1[[#This Row],[Date_Acq]],TODAY(),"m"),DATEDIF(Table1[[#This Row],[Date_Acq]],Table1[[#This Row],[Inactive_Date]],"m"))</f>
        <v>1402</v>
      </c>
    </row>
    <row r="675" spans="1:26" s="17" customFormat="1" x14ac:dyDescent="0.4">
      <c r="A675" s="6"/>
      <c r="B675" s="7" t="s">
        <v>1431</v>
      </c>
      <c r="C675" s="2"/>
      <c r="D675" s="2"/>
      <c r="E675" s="2" t="s">
        <v>1432</v>
      </c>
      <c r="F675" s="2"/>
      <c r="G675" s="2"/>
      <c r="H675" s="21"/>
      <c r="I675" s="21"/>
      <c r="J675" s="2" t="s">
        <v>46</v>
      </c>
      <c r="K675" s="2" t="s">
        <v>39</v>
      </c>
      <c r="L675" s="2" t="s">
        <v>35</v>
      </c>
      <c r="M675" s="2"/>
      <c r="N675" s="2" t="s">
        <v>1429</v>
      </c>
      <c r="O675" s="2" t="s">
        <v>1430</v>
      </c>
      <c r="P675" s="2"/>
      <c r="Q675" s="2" t="s">
        <v>1008</v>
      </c>
      <c r="R675" s="1"/>
      <c r="S675" s="2"/>
      <c r="T675" s="1"/>
      <c r="U675" s="1"/>
      <c r="V675" s="2"/>
      <c r="W675" s="2"/>
      <c r="X675" s="2"/>
      <c r="Y675" s="2"/>
      <c r="Z675" s="1">
        <f ca="1">IF(Table1[[#This Row],[Inactive_Date]]="",DATEDIF(Table1[[#This Row],[Date_Acq]],TODAY(),"m"),DATEDIF(Table1[[#This Row],[Date_Acq]],Table1[[#This Row],[Inactive_Date]],"m"))</f>
        <v>1402</v>
      </c>
    </row>
    <row r="676" spans="1:26" s="17" customFormat="1" hidden="1" x14ac:dyDescent="0.4">
      <c r="A676" s="6"/>
      <c r="B676" s="7" t="s">
        <v>1433</v>
      </c>
      <c r="C676" s="4">
        <v>42244</v>
      </c>
      <c r="D676" s="2" t="s">
        <v>665</v>
      </c>
      <c r="E676" s="2" t="s">
        <v>1434</v>
      </c>
      <c r="F676" s="2"/>
      <c r="G676" s="2">
        <v>300</v>
      </c>
      <c r="H676" s="21">
        <v>57520</v>
      </c>
      <c r="I676" s="21" t="s">
        <v>108</v>
      </c>
      <c r="J676" s="2" t="s">
        <v>46</v>
      </c>
      <c r="K676" s="2" t="s">
        <v>34</v>
      </c>
      <c r="L676" s="2" t="s">
        <v>35</v>
      </c>
      <c r="M676" s="2"/>
      <c r="N676" s="2" t="s">
        <v>1435</v>
      </c>
      <c r="O676" s="2" t="s">
        <v>1436</v>
      </c>
      <c r="P676" s="2" t="s">
        <v>1437</v>
      </c>
      <c r="Q676" s="2" t="s">
        <v>1314</v>
      </c>
      <c r="R676" s="1">
        <v>3</v>
      </c>
      <c r="S676" s="2" t="s">
        <v>1438</v>
      </c>
      <c r="T676" s="1" t="s">
        <v>706</v>
      </c>
      <c r="U676" s="1"/>
      <c r="V676" s="2"/>
      <c r="W676" s="2"/>
      <c r="X676" s="2"/>
      <c r="Y676" s="2"/>
      <c r="Z676" s="1">
        <f ca="1">IF(Table1[[#This Row],[Inactive_Date]]="",DATEDIF(Table1[[#This Row],[Date_Acq]],TODAY(),"m"),DATEDIF(Table1[[#This Row],[Date_Acq]],Table1[[#This Row],[Inactive_Date]],"m"))</f>
        <v>14</v>
      </c>
    </row>
    <row r="677" spans="1:26" s="17" customFormat="1" hidden="1" x14ac:dyDescent="0.4">
      <c r="A677" s="6"/>
      <c r="B677" s="7" t="s">
        <v>1439</v>
      </c>
      <c r="C677" s="4">
        <v>42219</v>
      </c>
      <c r="D677" s="2" t="s">
        <v>437</v>
      </c>
      <c r="E677" s="2" t="s">
        <v>1440</v>
      </c>
      <c r="F677" s="2"/>
      <c r="G677" s="2">
        <v>349.99</v>
      </c>
      <c r="H677" s="21"/>
      <c r="I677" s="21" t="s">
        <v>13</v>
      </c>
      <c r="J677" s="2" t="s">
        <v>46</v>
      </c>
      <c r="K677" s="2" t="s">
        <v>34</v>
      </c>
      <c r="L677" s="2" t="s">
        <v>51</v>
      </c>
      <c r="M677" s="2"/>
      <c r="N677" s="2" t="s">
        <v>1441</v>
      </c>
      <c r="O677" s="2" t="s">
        <v>1442</v>
      </c>
      <c r="P677" s="2" t="s">
        <v>1443</v>
      </c>
      <c r="Q677" s="2" t="s">
        <v>110</v>
      </c>
      <c r="R677" s="1">
        <v>3</v>
      </c>
      <c r="S677" s="2" t="s">
        <v>1444</v>
      </c>
      <c r="T677" s="1" t="s">
        <v>706</v>
      </c>
      <c r="U677" s="1"/>
      <c r="V677" s="2"/>
      <c r="W677" s="2"/>
      <c r="X677" s="2"/>
      <c r="Y677" s="2"/>
      <c r="Z677" s="1">
        <f ca="1">IF(Table1[[#This Row],[Inactive_Date]]="",DATEDIF(Table1[[#This Row],[Date_Acq]],TODAY(),"m"),DATEDIF(Table1[[#This Row],[Date_Acq]],Table1[[#This Row],[Inactive_Date]],"m"))</f>
        <v>15</v>
      </c>
    </row>
    <row r="678" spans="1:26" s="17" customFormat="1" hidden="1" x14ac:dyDescent="0.4">
      <c r="A678" s="6"/>
      <c r="B678" s="7" t="s">
        <v>1445</v>
      </c>
      <c r="C678" s="4">
        <v>42219</v>
      </c>
      <c r="D678" s="2" t="s">
        <v>437</v>
      </c>
      <c r="E678" s="2" t="s">
        <v>1440</v>
      </c>
      <c r="F678" s="2"/>
      <c r="G678" s="2">
        <v>349.99</v>
      </c>
      <c r="H678" s="21"/>
      <c r="I678" s="21" t="s">
        <v>108</v>
      </c>
      <c r="J678" s="2" t="s">
        <v>46</v>
      </c>
      <c r="K678" s="2" t="s">
        <v>34</v>
      </c>
      <c r="L678" s="2" t="s">
        <v>35</v>
      </c>
      <c r="M678" s="2"/>
      <c r="N678" s="2" t="s">
        <v>1441</v>
      </c>
      <c r="O678" s="2" t="s">
        <v>1442</v>
      </c>
      <c r="P678" s="2" t="s">
        <v>1446</v>
      </c>
      <c r="Q678" s="2" t="s">
        <v>110</v>
      </c>
      <c r="R678" s="1">
        <v>3</v>
      </c>
      <c r="S678" s="2" t="s">
        <v>1447</v>
      </c>
      <c r="T678" s="1" t="s">
        <v>706</v>
      </c>
      <c r="U678" s="1"/>
      <c r="V678" s="2"/>
      <c r="W678" s="2"/>
      <c r="X678" s="2"/>
      <c r="Y678" s="2"/>
      <c r="Z678" s="1">
        <f ca="1">IF(Table1[[#This Row],[Inactive_Date]]="",DATEDIF(Table1[[#This Row],[Date_Acq]],TODAY(),"m"),DATEDIF(Table1[[#This Row],[Date_Acq]],Table1[[#This Row],[Inactive_Date]],"m"))</f>
        <v>15</v>
      </c>
    </row>
    <row r="679" spans="1:26" s="17" customFormat="1" hidden="1" x14ac:dyDescent="0.4">
      <c r="A679" s="6"/>
      <c r="B679" s="7" t="s">
        <v>1448</v>
      </c>
      <c r="C679" s="4">
        <v>42227</v>
      </c>
      <c r="D679" s="2" t="s">
        <v>437</v>
      </c>
      <c r="E679" s="2" t="s">
        <v>1440</v>
      </c>
      <c r="F679" s="2" t="s">
        <v>1449</v>
      </c>
      <c r="G679" s="2">
        <v>349.99</v>
      </c>
      <c r="H679" s="21"/>
      <c r="I679" s="21" t="s">
        <v>108</v>
      </c>
      <c r="J679" s="2" t="s">
        <v>46</v>
      </c>
      <c r="K679" s="2" t="s">
        <v>34</v>
      </c>
      <c r="L679" s="2" t="s">
        <v>35</v>
      </c>
      <c r="M679" s="2"/>
      <c r="N679" s="2" t="s">
        <v>1441</v>
      </c>
      <c r="O679" s="2" t="s">
        <v>1442</v>
      </c>
      <c r="P679" s="2" t="s">
        <v>1450</v>
      </c>
      <c r="Q679" s="2" t="s">
        <v>110</v>
      </c>
      <c r="R679" s="1">
        <v>3</v>
      </c>
      <c r="S679" s="2" t="s">
        <v>1451</v>
      </c>
      <c r="T679" s="1" t="s">
        <v>410</v>
      </c>
      <c r="U679" s="3">
        <v>42593</v>
      </c>
      <c r="V679" s="2"/>
      <c r="W679" s="2"/>
      <c r="X679" s="2"/>
      <c r="Y679" s="2"/>
      <c r="Z679" s="1">
        <f ca="1">IF(Table1[[#This Row],[Inactive_Date]]="",DATEDIF(Table1[[#This Row],[Date_Acq]],TODAY(),"m"),DATEDIF(Table1[[#This Row],[Date_Acq]],Table1[[#This Row],[Inactive_Date]],"m"))</f>
        <v>15</v>
      </c>
    </row>
    <row r="680" spans="1:26" s="17" customFormat="1" hidden="1" x14ac:dyDescent="0.4">
      <c r="A680" s="6"/>
      <c r="B680" s="7" t="s">
        <v>1452</v>
      </c>
      <c r="C680" s="4">
        <v>42227</v>
      </c>
      <c r="D680" s="2" t="s">
        <v>437</v>
      </c>
      <c r="E680" s="2" t="s">
        <v>1440</v>
      </c>
      <c r="F680" s="2" t="s">
        <v>1449</v>
      </c>
      <c r="G680" s="2">
        <v>349.99</v>
      </c>
      <c r="H680" s="21"/>
      <c r="I680" s="21" t="s">
        <v>108</v>
      </c>
      <c r="J680" s="2" t="s">
        <v>46</v>
      </c>
      <c r="K680" s="2" t="s">
        <v>34</v>
      </c>
      <c r="L680" s="2" t="s">
        <v>35</v>
      </c>
      <c r="M680" s="2"/>
      <c r="N680" s="2" t="s">
        <v>1441</v>
      </c>
      <c r="O680" s="2" t="s">
        <v>1442</v>
      </c>
      <c r="P680" s="2" t="s">
        <v>1453</v>
      </c>
      <c r="Q680" s="2" t="s">
        <v>110</v>
      </c>
      <c r="R680" s="1">
        <v>3</v>
      </c>
      <c r="S680" s="2" t="s">
        <v>1454</v>
      </c>
      <c r="T680" s="1" t="s">
        <v>410</v>
      </c>
      <c r="U680" s="3">
        <v>42593</v>
      </c>
      <c r="V680" s="2"/>
      <c r="W680" s="2"/>
      <c r="X680" s="2"/>
      <c r="Y680" s="2"/>
      <c r="Z680" s="1">
        <f ca="1">IF(Table1[[#This Row],[Inactive_Date]]="",DATEDIF(Table1[[#This Row],[Date_Acq]],TODAY(),"m"),DATEDIF(Table1[[#This Row],[Date_Acq]],Table1[[#This Row],[Inactive_Date]],"m"))</f>
        <v>15</v>
      </c>
    </row>
    <row r="681" spans="1:26" s="17" customFormat="1" hidden="1" x14ac:dyDescent="0.4">
      <c r="A681" s="6"/>
      <c r="B681" s="7" t="s">
        <v>1455</v>
      </c>
      <c r="C681" s="4">
        <v>41725</v>
      </c>
      <c r="D681" s="2" t="s">
        <v>1456</v>
      </c>
      <c r="E681" s="2" t="s">
        <v>1457</v>
      </c>
      <c r="F681" s="2" t="s">
        <v>1458</v>
      </c>
      <c r="G681" s="2">
        <v>224.99</v>
      </c>
      <c r="H681" s="21">
        <v>57520</v>
      </c>
      <c r="I681" s="21" t="s">
        <v>108</v>
      </c>
      <c r="J681" s="2" t="s">
        <v>46</v>
      </c>
      <c r="K681" s="2" t="s">
        <v>34</v>
      </c>
      <c r="L681" s="2" t="s">
        <v>35</v>
      </c>
      <c r="M681" s="2"/>
      <c r="N681" s="2" t="s">
        <v>1456</v>
      </c>
      <c r="O681" s="2" t="s">
        <v>1459</v>
      </c>
      <c r="P681" s="2" t="s">
        <v>1460</v>
      </c>
      <c r="Q681" s="2" t="s">
        <v>942</v>
      </c>
      <c r="R681" s="1">
        <v>3</v>
      </c>
      <c r="S681" s="2" t="s">
        <v>1461</v>
      </c>
      <c r="T681" s="1" t="s">
        <v>706</v>
      </c>
      <c r="U681" s="1"/>
      <c r="V681" s="2"/>
      <c r="W681" s="2"/>
      <c r="X681" s="2"/>
      <c r="Y681" s="2"/>
      <c r="Z681" s="1">
        <f ca="1">IF(Table1[[#This Row],[Inactive_Date]]="",DATEDIF(Table1[[#This Row],[Date_Acq]],TODAY(),"m"),DATEDIF(Table1[[#This Row],[Date_Acq]],Table1[[#This Row],[Inactive_Date]],"m"))</f>
        <v>31</v>
      </c>
    </row>
    <row r="682" spans="1:26" s="17" customFormat="1" hidden="1" x14ac:dyDescent="0.4">
      <c r="A682" s="6"/>
      <c r="B682" s="7" t="s">
        <v>1462</v>
      </c>
      <c r="C682" s="4">
        <v>41725</v>
      </c>
      <c r="D682" s="2" t="s">
        <v>1456</v>
      </c>
      <c r="E682" s="2" t="s">
        <v>1463</v>
      </c>
      <c r="F682" s="2" t="s">
        <v>1463</v>
      </c>
      <c r="G682" s="2">
        <v>209.99</v>
      </c>
      <c r="H682" s="21">
        <v>57520</v>
      </c>
      <c r="I682" s="21" t="s">
        <v>13</v>
      </c>
      <c r="J682" s="2" t="s">
        <v>46</v>
      </c>
      <c r="K682" s="2" t="s">
        <v>34</v>
      </c>
      <c r="L682" s="2" t="s">
        <v>35</v>
      </c>
      <c r="M682" s="2"/>
      <c r="N682" s="2" t="s">
        <v>1456</v>
      </c>
      <c r="O682" s="2" t="s">
        <v>1378</v>
      </c>
      <c r="P682" s="2" t="s">
        <v>1464</v>
      </c>
      <c r="Q682" s="2"/>
      <c r="R682" s="1"/>
      <c r="S682" s="2" t="s">
        <v>1103</v>
      </c>
      <c r="T682" s="1"/>
      <c r="U682" s="1"/>
      <c r="V682" s="2"/>
      <c r="W682" s="2"/>
      <c r="X682" s="2"/>
      <c r="Y682" s="2"/>
      <c r="Z682" s="1">
        <f ca="1">IF(Table1[[#This Row],[Inactive_Date]]="",DATEDIF(Table1[[#This Row],[Date_Acq]],TODAY(),"m"),DATEDIF(Table1[[#This Row],[Date_Acq]],Table1[[#This Row],[Inactive_Date]],"m"))</f>
        <v>31</v>
      </c>
    </row>
    <row r="683" spans="1:26" s="17" customFormat="1" hidden="1" x14ac:dyDescent="0.4">
      <c r="A683" s="6"/>
      <c r="B683" s="7" t="s">
        <v>1465</v>
      </c>
      <c r="C683" s="4">
        <v>42262</v>
      </c>
      <c r="D683" s="2" t="s">
        <v>665</v>
      </c>
      <c r="E683" s="2" t="s">
        <v>707</v>
      </c>
      <c r="F683" s="2" t="s">
        <v>708</v>
      </c>
      <c r="G683" s="2">
        <v>259</v>
      </c>
      <c r="H683" s="21">
        <v>57520</v>
      </c>
      <c r="I683" s="21" t="s">
        <v>13</v>
      </c>
      <c r="J683" s="2" t="s">
        <v>46</v>
      </c>
      <c r="K683" s="2" t="s">
        <v>34</v>
      </c>
      <c r="L683" s="2" t="s">
        <v>35</v>
      </c>
      <c r="M683" s="2"/>
      <c r="N683" s="2" t="s">
        <v>709</v>
      </c>
      <c r="O683" s="2" t="s">
        <v>710</v>
      </c>
      <c r="P683" s="2" t="s">
        <v>1466</v>
      </c>
      <c r="Q683" s="2" t="s">
        <v>711</v>
      </c>
      <c r="R683" s="1">
        <v>3</v>
      </c>
      <c r="S683" s="2" t="s">
        <v>712</v>
      </c>
      <c r="T683" s="1" t="s">
        <v>706</v>
      </c>
      <c r="U683" s="1"/>
      <c r="V683" s="2"/>
      <c r="W683" s="2"/>
      <c r="X683" s="2"/>
      <c r="Y683" s="2"/>
      <c r="Z683" s="1">
        <f ca="1">IF(Table1[[#This Row],[Inactive_Date]]="",DATEDIF(Table1[[#This Row],[Date_Acq]],TODAY(),"m"),DATEDIF(Table1[[#This Row],[Date_Acq]],Table1[[#This Row],[Inactive_Date]],"m"))</f>
        <v>14</v>
      </c>
    </row>
    <row r="684" spans="1:26" s="17" customFormat="1" hidden="1" x14ac:dyDescent="0.4">
      <c r="A684" s="6"/>
      <c r="B684" s="7" t="s">
        <v>1467</v>
      </c>
      <c r="C684" s="4">
        <v>41581</v>
      </c>
      <c r="D684" s="2" t="s">
        <v>1100</v>
      </c>
      <c r="E684" s="2" t="s">
        <v>1101</v>
      </c>
      <c r="F684" s="2" t="s">
        <v>1468</v>
      </c>
      <c r="G684" s="2">
        <v>299</v>
      </c>
      <c r="H684" s="21">
        <v>57520</v>
      </c>
      <c r="I684" s="21" t="s">
        <v>796</v>
      </c>
      <c r="J684" s="2" t="s">
        <v>46</v>
      </c>
      <c r="K684" s="2" t="s">
        <v>34</v>
      </c>
      <c r="L684" s="2" t="s">
        <v>35</v>
      </c>
      <c r="M684" s="2"/>
      <c r="N684" s="2" t="s">
        <v>1100</v>
      </c>
      <c r="O684" s="2"/>
      <c r="P684" s="2" t="s">
        <v>1469</v>
      </c>
      <c r="Q684" s="2"/>
      <c r="R684" s="1"/>
      <c r="S684" s="2" t="s">
        <v>1103</v>
      </c>
      <c r="T684" s="1"/>
      <c r="U684" s="1"/>
      <c r="V684" s="2"/>
      <c r="W684" s="2"/>
      <c r="X684" s="2"/>
      <c r="Y684" s="2"/>
      <c r="Z684" s="1">
        <f ca="1">IF(Table1[[#This Row],[Inactive_Date]]="",DATEDIF(Table1[[#This Row],[Date_Acq]],TODAY(),"m"),DATEDIF(Table1[[#This Row],[Date_Acq]],Table1[[#This Row],[Inactive_Date]],"m"))</f>
        <v>36</v>
      </c>
    </row>
    <row r="685" spans="1:26" s="17" customFormat="1" x14ac:dyDescent="0.4">
      <c r="A685" s="6"/>
      <c r="B685" s="7" t="s">
        <v>1470</v>
      </c>
      <c r="C685" s="4">
        <v>42305</v>
      </c>
      <c r="D685" s="2" t="s">
        <v>405</v>
      </c>
      <c r="E685" s="2" t="s">
        <v>1471</v>
      </c>
      <c r="F685" s="2" t="s">
        <v>1472</v>
      </c>
      <c r="G685" s="2">
        <v>1379</v>
      </c>
      <c r="H685" s="21">
        <v>57522</v>
      </c>
      <c r="I685" s="21" t="s">
        <v>108</v>
      </c>
      <c r="J685" s="2" t="s">
        <v>46</v>
      </c>
      <c r="K685" s="2" t="s">
        <v>39</v>
      </c>
      <c r="L685" s="2" t="s">
        <v>35</v>
      </c>
      <c r="M685" s="2"/>
      <c r="N685" s="2" t="s">
        <v>306</v>
      </c>
      <c r="O685" s="2" t="s">
        <v>1473</v>
      </c>
      <c r="P685" s="2" t="s">
        <v>1474</v>
      </c>
      <c r="Q685" s="2" t="s">
        <v>110</v>
      </c>
      <c r="R685" s="1">
        <v>3</v>
      </c>
      <c r="S685" s="2" t="s">
        <v>1475</v>
      </c>
      <c r="T685" s="1" t="s">
        <v>410</v>
      </c>
      <c r="U685" s="3">
        <v>42671</v>
      </c>
      <c r="V685" s="2"/>
      <c r="W685" s="2"/>
      <c r="X685" s="2"/>
      <c r="Y685" s="2"/>
      <c r="Z685" s="1">
        <f ca="1">IF(Table1[[#This Row],[Inactive_Date]]="",DATEDIF(Table1[[#This Row],[Date_Acq]],TODAY(),"m"),DATEDIF(Table1[[#This Row],[Date_Acq]],Table1[[#This Row],[Inactive_Date]],"m"))</f>
        <v>12</v>
      </c>
    </row>
    <row r="686" spans="1:26" s="17" customFormat="1" x14ac:dyDescent="0.4">
      <c r="A686" s="6"/>
      <c r="B686" s="7" t="s">
        <v>1476</v>
      </c>
      <c r="C686" s="4">
        <v>42305</v>
      </c>
      <c r="D686" s="2" t="s">
        <v>405</v>
      </c>
      <c r="E686" s="2" t="s">
        <v>1471</v>
      </c>
      <c r="F686" s="2" t="s">
        <v>1472</v>
      </c>
      <c r="G686" s="2">
        <v>1379</v>
      </c>
      <c r="H686" s="21">
        <v>57522</v>
      </c>
      <c r="I686" s="21" t="s">
        <v>108</v>
      </c>
      <c r="J686" s="2" t="s">
        <v>46</v>
      </c>
      <c r="K686" s="2" t="s">
        <v>39</v>
      </c>
      <c r="L686" s="2" t="s">
        <v>35</v>
      </c>
      <c r="M686" s="2"/>
      <c r="N686" s="2" t="s">
        <v>306</v>
      </c>
      <c r="O686" s="2" t="s">
        <v>1473</v>
      </c>
      <c r="P686" s="2"/>
      <c r="Q686" s="2" t="s">
        <v>110</v>
      </c>
      <c r="R686" s="1">
        <v>3</v>
      </c>
      <c r="S686" s="2" t="s">
        <v>1475</v>
      </c>
      <c r="T686" s="1" t="s">
        <v>410</v>
      </c>
      <c r="U686" s="3">
        <v>42671</v>
      </c>
      <c r="V686" s="2"/>
      <c r="W686" s="2"/>
      <c r="X686" s="2"/>
      <c r="Y686" s="2"/>
      <c r="Z686" s="1">
        <f ca="1">IF(Table1[[#This Row],[Inactive_Date]]="",DATEDIF(Table1[[#This Row],[Date_Acq]],TODAY(),"m"),DATEDIF(Table1[[#This Row],[Date_Acq]],Table1[[#This Row],[Inactive_Date]],"m"))</f>
        <v>12</v>
      </c>
    </row>
    <row r="687" spans="1:26" s="17" customFormat="1" x14ac:dyDescent="0.4">
      <c r="A687" s="6"/>
      <c r="B687" s="7" t="s">
        <v>1477</v>
      </c>
      <c r="C687" s="4">
        <v>42326</v>
      </c>
      <c r="D687" s="2" t="s">
        <v>405</v>
      </c>
      <c r="E687" s="2" t="s">
        <v>406</v>
      </c>
      <c r="F687" s="2" t="s">
        <v>1478</v>
      </c>
      <c r="G687" s="2">
        <v>1471</v>
      </c>
      <c r="H687" s="21">
        <v>57522</v>
      </c>
      <c r="I687" s="21" t="s">
        <v>13</v>
      </c>
      <c r="J687" s="2" t="s">
        <v>46</v>
      </c>
      <c r="K687" s="2" t="s">
        <v>39</v>
      </c>
      <c r="L687" s="2" t="s">
        <v>35</v>
      </c>
      <c r="M687" s="2"/>
      <c r="N687" s="2" t="s">
        <v>306</v>
      </c>
      <c r="O687" s="2" t="s">
        <v>1473</v>
      </c>
      <c r="P687" s="2" t="s">
        <v>1479</v>
      </c>
      <c r="Q687" s="2" t="s">
        <v>110</v>
      </c>
      <c r="R687" s="1">
        <v>3</v>
      </c>
      <c r="S687" s="2"/>
      <c r="T687" s="1" t="s">
        <v>410</v>
      </c>
      <c r="U687" s="3">
        <v>42692</v>
      </c>
      <c r="V687" s="2"/>
      <c r="W687" s="2"/>
      <c r="X687" s="2"/>
      <c r="Y687" s="2"/>
      <c r="Z687" s="1">
        <f ca="1">IF(Table1[[#This Row],[Inactive_Date]]="",DATEDIF(Table1[[#This Row],[Date_Acq]],TODAY(),"m"),DATEDIF(Table1[[#This Row],[Date_Acq]],Table1[[#This Row],[Inactive_Date]],"m"))</f>
        <v>12</v>
      </c>
    </row>
    <row r="688" spans="1:26" s="17" customFormat="1" hidden="1" x14ac:dyDescent="0.4">
      <c r="A688" s="6"/>
      <c r="B688" s="7" t="s">
        <v>1480</v>
      </c>
      <c r="C688" s="4">
        <v>42336</v>
      </c>
      <c r="D688" s="2" t="s">
        <v>437</v>
      </c>
      <c r="E688" s="2" t="s">
        <v>1481</v>
      </c>
      <c r="F688" s="2" t="s">
        <v>1482</v>
      </c>
      <c r="G688" s="2">
        <v>204.99</v>
      </c>
      <c r="H688" s="21">
        <v>57522</v>
      </c>
      <c r="I688" s="21" t="s">
        <v>13</v>
      </c>
      <c r="J688" s="2" t="s">
        <v>46</v>
      </c>
      <c r="K688" s="2" t="s">
        <v>34</v>
      </c>
      <c r="L688" s="2" t="s">
        <v>35</v>
      </c>
      <c r="M688" s="2"/>
      <c r="N688" s="2" t="s">
        <v>1483</v>
      </c>
      <c r="O688" s="2" t="s">
        <v>1481</v>
      </c>
      <c r="P688" s="2"/>
      <c r="Q688" s="2" t="s">
        <v>942</v>
      </c>
      <c r="R688" s="1">
        <v>1</v>
      </c>
      <c r="S688" s="2"/>
      <c r="T688" s="1" t="s">
        <v>410</v>
      </c>
      <c r="U688" s="3">
        <v>42704</v>
      </c>
      <c r="V688" s="2"/>
      <c r="W688" s="2"/>
      <c r="X688" s="2"/>
      <c r="Y688" s="2"/>
      <c r="Z688" s="1">
        <f ca="1">IF(Table1[[#This Row],[Inactive_Date]]="",DATEDIF(Table1[[#This Row],[Date_Acq]],TODAY(),"m"),DATEDIF(Table1[[#This Row],[Date_Acq]],Table1[[#This Row],[Inactive_Date]],"m"))</f>
        <v>11</v>
      </c>
    </row>
    <row r="689" spans="1:26" s="17" customFormat="1" x14ac:dyDescent="0.4">
      <c r="A689" s="6"/>
      <c r="B689" s="7" t="s">
        <v>1484</v>
      </c>
      <c r="C689" s="4">
        <v>41131</v>
      </c>
      <c r="D689" s="2" t="s">
        <v>306</v>
      </c>
      <c r="E689" s="2" t="s">
        <v>1067</v>
      </c>
      <c r="F689" s="2" t="s">
        <v>1067</v>
      </c>
      <c r="G689" s="2">
        <v>2115</v>
      </c>
      <c r="H689" s="21">
        <v>57520</v>
      </c>
      <c r="I689" s="21" t="s">
        <v>13</v>
      </c>
      <c r="J689" s="2" t="s">
        <v>46</v>
      </c>
      <c r="K689" s="2" t="s">
        <v>39</v>
      </c>
      <c r="L689" s="2" t="s">
        <v>35</v>
      </c>
      <c r="M689" s="2"/>
      <c r="N689" s="2" t="s">
        <v>306</v>
      </c>
      <c r="O689" s="2"/>
      <c r="P689" s="2" t="s">
        <v>1485</v>
      </c>
      <c r="Q689" s="2" t="s">
        <v>110</v>
      </c>
      <c r="R689" s="1"/>
      <c r="S689" s="2" t="s">
        <v>1486</v>
      </c>
      <c r="T689" s="1"/>
      <c r="U689" s="1"/>
      <c r="V689" s="2"/>
      <c r="W689" s="2"/>
      <c r="X689" s="2"/>
      <c r="Y689" s="2"/>
      <c r="Z689" s="1">
        <f ca="1">IF(Table1[[#This Row],[Inactive_Date]]="",DATEDIF(Table1[[#This Row],[Date_Acq]],TODAY(),"m"),DATEDIF(Table1[[#This Row],[Date_Acq]],Table1[[#This Row],[Inactive_Date]],"m"))</f>
        <v>51</v>
      </c>
    </row>
    <row r="690" spans="1:26" s="17" customFormat="1" hidden="1" x14ac:dyDescent="0.4">
      <c r="A690" s="6"/>
      <c r="B690" s="7" t="s">
        <v>1487</v>
      </c>
      <c r="C690" s="4">
        <v>42339</v>
      </c>
      <c r="D690" s="2" t="s">
        <v>1488</v>
      </c>
      <c r="E690" s="2" t="s">
        <v>1489</v>
      </c>
      <c r="F690" s="2"/>
      <c r="G690" s="2">
        <v>199.99</v>
      </c>
      <c r="H690" s="21">
        <v>57520</v>
      </c>
      <c r="I690" s="21" t="s">
        <v>108</v>
      </c>
      <c r="J690" s="2" t="s">
        <v>46</v>
      </c>
      <c r="K690" s="2" t="s">
        <v>34</v>
      </c>
      <c r="L690" s="2" t="s">
        <v>35</v>
      </c>
      <c r="M690" s="2"/>
      <c r="N690" s="2"/>
      <c r="O690" s="2" t="s">
        <v>1490</v>
      </c>
      <c r="P690" s="2" t="s">
        <v>1491</v>
      </c>
      <c r="Q690" s="2" t="s">
        <v>110</v>
      </c>
      <c r="R690" s="1">
        <v>3</v>
      </c>
      <c r="S690" s="2" t="s">
        <v>1492</v>
      </c>
      <c r="T690" s="1" t="s">
        <v>706</v>
      </c>
      <c r="U690" s="3">
        <v>42348</v>
      </c>
      <c r="V690" s="2"/>
      <c r="W690" s="2"/>
      <c r="X690" s="2"/>
      <c r="Y690" s="2"/>
      <c r="Z690" s="1">
        <f ca="1">IF(Table1[[#This Row],[Inactive_Date]]="",DATEDIF(Table1[[#This Row],[Date_Acq]],TODAY(),"m"),DATEDIF(Table1[[#This Row],[Date_Acq]],Table1[[#This Row],[Inactive_Date]],"m"))</f>
        <v>11</v>
      </c>
    </row>
    <row r="691" spans="1:26" s="17" customFormat="1" hidden="1" x14ac:dyDescent="0.4">
      <c r="A691" s="6"/>
      <c r="B691" s="7" t="s">
        <v>1487</v>
      </c>
      <c r="C691" s="4">
        <v>42339</v>
      </c>
      <c r="D691" s="2" t="s">
        <v>1488</v>
      </c>
      <c r="E691" s="2" t="s">
        <v>1489</v>
      </c>
      <c r="F691" s="2"/>
      <c r="G691" s="2">
        <v>199.99</v>
      </c>
      <c r="H691" s="21">
        <v>57520</v>
      </c>
      <c r="I691" s="21" t="s">
        <v>108</v>
      </c>
      <c r="J691" s="2" t="s">
        <v>46</v>
      </c>
      <c r="K691" s="2" t="s">
        <v>34</v>
      </c>
      <c r="L691" s="2" t="s">
        <v>35</v>
      </c>
      <c r="M691" s="2"/>
      <c r="N691" s="2"/>
      <c r="O691" s="2" t="s">
        <v>1490</v>
      </c>
      <c r="P691" s="2" t="s">
        <v>1493</v>
      </c>
      <c r="Q691" s="2" t="s">
        <v>110</v>
      </c>
      <c r="R691" s="1">
        <v>3</v>
      </c>
      <c r="S691" s="2" t="s">
        <v>1492</v>
      </c>
      <c r="T691" s="1" t="s">
        <v>706</v>
      </c>
      <c r="U691" s="3">
        <v>42348</v>
      </c>
      <c r="V691" s="2"/>
      <c r="W691" s="2"/>
      <c r="X691" s="2"/>
      <c r="Y691" s="2"/>
      <c r="Z691" s="1">
        <f ca="1">IF(Table1[[#This Row],[Inactive_Date]]="",DATEDIF(Table1[[#This Row],[Date_Acq]],TODAY(),"m"),DATEDIF(Table1[[#This Row],[Date_Acq]],Table1[[#This Row],[Inactive_Date]],"m"))</f>
        <v>11</v>
      </c>
    </row>
    <row r="692" spans="1:26" s="17" customFormat="1" x14ac:dyDescent="0.4">
      <c r="A692" s="6"/>
      <c r="B692" s="7" t="s">
        <v>1494</v>
      </c>
      <c r="C692" s="4">
        <v>42359</v>
      </c>
      <c r="D692" s="2" t="s">
        <v>1495</v>
      </c>
      <c r="E692" s="2" t="s">
        <v>519</v>
      </c>
      <c r="F692" s="2" t="s">
        <v>1496</v>
      </c>
      <c r="G692" s="2">
        <v>999.99</v>
      </c>
      <c r="H692" s="21">
        <v>57520</v>
      </c>
      <c r="I692" s="21" t="s">
        <v>13</v>
      </c>
      <c r="J692" s="2" t="s">
        <v>46</v>
      </c>
      <c r="K692" s="2" t="s">
        <v>39</v>
      </c>
      <c r="L692" s="2"/>
      <c r="M692" s="2"/>
      <c r="N692" s="2" t="s">
        <v>454</v>
      </c>
      <c r="O692" s="2" t="s">
        <v>1497</v>
      </c>
      <c r="P692" s="2"/>
      <c r="Q692" s="2"/>
      <c r="R692" s="1">
        <v>3</v>
      </c>
      <c r="S692" s="2" t="s">
        <v>1498</v>
      </c>
      <c r="T692" s="1" t="s">
        <v>410</v>
      </c>
      <c r="U692" s="3">
        <v>42359</v>
      </c>
      <c r="V692" s="2"/>
      <c r="W692" s="2"/>
      <c r="X692" s="2"/>
      <c r="Y692" s="2"/>
      <c r="Z692" s="1">
        <f ca="1">IF(Table1[[#This Row],[Inactive_Date]]="",DATEDIF(Table1[[#This Row],[Date_Acq]],TODAY(),"m"),DATEDIF(Table1[[#This Row],[Date_Acq]],Table1[[#This Row],[Inactive_Date]],"m"))</f>
        <v>11</v>
      </c>
    </row>
    <row r="693" spans="1:26" s="17" customFormat="1" x14ac:dyDescent="0.4">
      <c r="A693" s="6"/>
      <c r="B693" s="7" t="s">
        <v>1499</v>
      </c>
      <c r="C693" s="4">
        <v>42358</v>
      </c>
      <c r="D693" s="2" t="s">
        <v>1251</v>
      </c>
      <c r="E693" s="2" t="s">
        <v>1500</v>
      </c>
      <c r="F693" s="2" t="s">
        <v>1500</v>
      </c>
      <c r="G693" s="2">
        <v>1299</v>
      </c>
      <c r="H693" s="21">
        <v>57520</v>
      </c>
      <c r="I693" s="21" t="s">
        <v>13</v>
      </c>
      <c r="J693" s="2" t="s">
        <v>46</v>
      </c>
      <c r="K693" s="2" t="s">
        <v>39</v>
      </c>
      <c r="L693" s="2" t="s">
        <v>35</v>
      </c>
      <c r="M693" s="2"/>
      <c r="N693" s="2" t="s">
        <v>1501</v>
      </c>
      <c r="O693" s="2" t="s">
        <v>1500</v>
      </c>
      <c r="P693" s="2"/>
      <c r="Q693" s="2" t="s">
        <v>942</v>
      </c>
      <c r="R693" s="1"/>
      <c r="S693" s="2" t="s">
        <v>1502</v>
      </c>
      <c r="T693" s="1" t="s">
        <v>706</v>
      </c>
      <c r="U693" s="1"/>
      <c r="V693" s="2"/>
      <c r="W693" s="2"/>
      <c r="X693" s="2"/>
      <c r="Y693" s="2"/>
      <c r="Z693" s="1">
        <f ca="1">IF(Table1[[#This Row],[Inactive_Date]]="",DATEDIF(Table1[[#This Row],[Date_Acq]],TODAY(),"m"),DATEDIF(Table1[[#This Row],[Date_Acq]],Table1[[#This Row],[Inactive_Date]],"m"))</f>
        <v>11</v>
      </c>
    </row>
    <row r="694" spans="1:26" s="17" customFormat="1" x14ac:dyDescent="0.4">
      <c r="A694" s="6"/>
      <c r="B694" s="7" t="s">
        <v>1503</v>
      </c>
      <c r="C694" s="4">
        <v>42341</v>
      </c>
      <c r="D694" s="2" t="s">
        <v>360</v>
      </c>
      <c r="E694" s="2" t="s">
        <v>945</v>
      </c>
      <c r="F694" s="2" t="s">
        <v>945</v>
      </c>
      <c r="G694" s="2">
        <v>1655</v>
      </c>
      <c r="H694" s="21">
        <v>57520</v>
      </c>
      <c r="I694" s="21" t="s">
        <v>13</v>
      </c>
      <c r="J694" s="2" t="s">
        <v>46</v>
      </c>
      <c r="K694" s="2" t="s">
        <v>39</v>
      </c>
      <c r="L694" s="2" t="s">
        <v>35</v>
      </c>
      <c r="M694" s="2"/>
      <c r="N694" s="2" t="s">
        <v>306</v>
      </c>
      <c r="O694" s="2" t="s">
        <v>1504</v>
      </c>
      <c r="P694" s="2" t="s">
        <v>1505</v>
      </c>
      <c r="Q694" s="2" t="s">
        <v>110</v>
      </c>
      <c r="R694" s="1">
        <v>3</v>
      </c>
      <c r="S694" s="2" t="s">
        <v>1506</v>
      </c>
      <c r="T694" s="1" t="s">
        <v>410</v>
      </c>
      <c r="U694" s="3">
        <v>42707</v>
      </c>
      <c r="V694" s="2"/>
      <c r="W694" s="2"/>
      <c r="X694" s="2"/>
      <c r="Y694" s="2"/>
      <c r="Z694" s="1">
        <f ca="1">IF(Table1[[#This Row],[Inactive_Date]]="",DATEDIF(Table1[[#This Row],[Date_Acq]],TODAY(),"m"),DATEDIF(Table1[[#This Row],[Date_Acq]],Table1[[#This Row],[Inactive_Date]],"m"))</f>
        <v>11</v>
      </c>
    </row>
    <row r="695" spans="1:26" s="17" customFormat="1" hidden="1" x14ac:dyDescent="0.4">
      <c r="A695" s="6"/>
      <c r="B695" s="7" t="s">
        <v>1507</v>
      </c>
      <c r="C695" s="4">
        <v>41423</v>
      </c>
      <c r="D695" s="2" t="s">
        <v>306</v>
      </c>
      <c r="E695" s="2" t="s">
        <v>1508</v>
      </c>
      <c r="F695" s="2" t="s">
        <v>406</v>
      </c>
      <c r="G695" s="2">
        <v>1000</v>
      </c>
      <c r="H695" s="21">
        <v>57520</v>
      </c>
      <c r="I695" s="21" t="s">
        <v>13</v>
      </c>
      <c r="J695" s="2" t="s">
        <v>46</v>
      </c>
      <c r="K695" s="2" t="s">
        <v>34</v>
      </c>
      <c r="L695" s="2" t="s">
        <v>35</v>
      </c>
      <c r="M695" s="2"/>
      <c r="N695" s="2" t="s">
        <v>306</v>
      </c>
      <c r="O695" s="2" t="s">
        <v>1509</v>
      </c>
      <c r="P695" s="2" t="s">
        <v>1510</v>
      </c>
      <c r="Q695" s="2" t="s">
        <v>474</v>
      </c>
      <c r="R695" s="1">
        <v>5</v>
      </c>
      <c r="S695" s="2" t="s">
        <v>1511</v>
      </c>
      <c r="T695" s="1" t="s">
        <v>410</v>
      </c>
      <c r="U695" s="1"/>
      <c r="V695" s="2"/>
      <c r="W695" s="2"/>
      <c r="X695" s="2"/>
      <c r="Y695" s="2"/>
      <c r="Z695" s="1">
        <f ca="1">IF(Table1[[#This Row],[Inactive_Date]]="",DATEDIF(Table1[[#This Row],[Date_Acq]],TODAY(),"m"),DATEDIF(Table1[[#This Row],[Date_Acq]],Table1[[#This Row],[Inactive_Date]],"m"))</f>
        <v>41</v>
      </c>
    </row>
    <row r="696" spans="1:26" s="17" customFormat="1" hidden="1" x14ac:dyDescent="0.4">
      <c r="A696" s="6"/>
      <c r="B696" s="7" t="s">
        <v>1512</v>
      </c>
      <c r="C696" s="4">
        <v>42335</v>
      </c>
      <c r="D696" s="2" t="s">
        <v>1488</v>
      </c>
      <c r="E696" s="2" t="s">
        <v>1513</v>
      </c>
      <c r="F696" s="2" t="s">
        <v>1513</v>
      </c>
      <c r="G696" s="2">
        <v>199.99</v>
      </c>
      <c r="H696" s="21">
        <v>57520</v>
      </c>
      <c r="I696" s="21" t="s">
        <v>13</v>
      </c>
      <c r="J696" s="2" t="s">
        <v>46</v>
      </c>
      <c r="K696" s="2" t="s">
        <v>34</v>
      </c>
      <c r="L696" s="2" t="s">
        <v>51</v>
      </c>
      <c r="M696" s="2"/>
      <c r="N696" s="2" t="s">
        <v>306</v>
      </c>
      <c r="O696" s="2" t="s">
        <v>1514</v>
      </c>
      <c r="P696" s="2" t="s">
        <v>1515</v>
      </c>
      <c r="Q696" s="2" t="s">
        <v>110</v>
      </c>
      <c r="R696" s="1">
        <v>3</v>
      </c>
      <c r="S696" s="2" t="s">
        <v>1516</v>
      </c>
      <c r="T696" s="1" t="s">
        <v>410</v>
      </c>
      <c r="U696" s="3">
        <v>42335</v>
      </c>
      <c r="V696" s="2"/>
      <c r="W696" s="2"/>
      <c r="X696" s="2"/>
      <c r="Y696" s="2"/>
      <c r="Z696" s="1">
        <f ca="1">IF(Table1[[#This Row],[Inactive_Date]]="",DATEDIF(Table1[[#This Row],[Date_Acq]],TODAY(),"m"),DATEDIF(Table1[[#This Row],[Date_Acq]],Table1[[#This Row],[Inactive_Date]],"m"))</f>
        <v>11</v>
      </c>
    </row>
    <row r="697" spans="1:26" s="17" customFormat="1" x14ac:dyDescent="0.4">
      <c r="A697" s="6"/>
      <c r="B697" s="7" t="s">
        <v>1517</v>
      </c>
      <c r="C697" s="2"/>
      <c r="D697" s="2"/>
      <c r="E697" s="2" t="s">
        <v>1518</v>
      </c>
      <c r="F697" s="2"/>
      <c r="G697" s="2">
        <v>0</v>
      </c>
      <c r="H697" s="21"/>
      <c r="I697" s="21"/>
      <c r="J697" s="2" t="s">
        <v>46</v>
      </c>
      <c r="K697" s="2" t="s">
        <v>39</v>
      </c>
      <c r="L697" s="2" t="s">
        <v>35</v>
      </c>
      <c r="M697" s="2"/>
      <c r="N697" s="2" t="s">
        <v>306</v>
      </c>
      <c r="O697" s="2" t="s">
        <v>1519</v>
      </c>
      <c r="P697" s="2"/>
      <c r="Q697" s="2"/>
      <c r="R697" s="1"/>
      <c r="S697" s="2"/>
      <c r="T697" s="1"/>
      <c r="U697" s="1"/>
      <c r="V697" s="2"/>
      <c r="W697" s="2"/>
      <c r="X697" s="2"/>
      <c r="Y697" s="2"/>
      <c r="Z697" s="1">
        <f ca="1">IF(Table1[[#This Row],[Inactive_Date]]="",DATEDIF(Table1[[#This Row],[Date_Acq]],TODAY(),"m"),DATEDIF(Table1[[#This Row],[Date_Acq]],Table1[[#This Row],[Inactive_Date]],"m"))</f>
        <v>1402</v>
      </c>
    </row>
    <row r="698" spans="1:26" s="17" customFormat="1" x14ac:dyDescent="0.4">
      <c r="A698" s="6"/>
      <c r="B698" s="7" t="s">
        <v>1520</v>
      </c>
      <c r="C698" s="4">
        <v>40210</v>
      </c>
      <c r="D698" s="2" t="s">
        <v>847</v>
      </c>
      <c r="E698" s="2" t="s">
        <v>848</v>
      </c>
      <c r="F698" s="2"/>
      <c r="G698" s="2">
        <v>0</v>
      </c>
      <c r="H698" s="21">
        <v>0</v>
      </c>
      <c r="I698" s="21" t="s">
        <v>798</v>
      </c>
      <c r="J698" s="2" t="s">
        <v>46</v>
      </c>
      <c r="K698" s="2"/>
      <c r="L698" s="2" t="s">
        <v>35</v>
      </c>
      <c r="M698" s="2"/>
      <c r="N698" s="2" t="s">
        <v>849</v>
      </c>
      <c r="O698" s="2" t="s">
        <v>850</v>
      </c>
      <c r="P698" s="2" t="s">
        <v>851</v>
      </c>
      <c r="Q698" s="2"/>
      <c r="R698" s="1">
        <v>5</v>
      </c>
      <c r="S698" s="2" t="s">
        <v>852</v>
      </c>
      <c r="T698" s="1" t="s">
        <v>410</v>
      </c>
      <c r="U698" s="1"/>
      <c r="V698" s="2"/>
      <c r="W698" s="2"/>
      <c r="X698" s="2"/>
      <c r="Y698" s="2"/>
      <c r="Z698" s="1">
        <f ca="1">IF(Table1[[#This Row],[Inactive_Date]]="",DATEDIF(Table1[[#This Row],[Date_Acq]],TODAY(),"m"),DATEDIF(Table1[[#This Row],[Date_Acq]],Table1[[#This Row],[Inactive_Date]],"m"))</f>
        <v>81</v>
      </c>
    </row>
    <row r="699" spans="1:26" s="17" customFormat="1" x14ac:dyDescent="0.4">
      <c r="A699" s="6"/>
      <c r="B699" s="7" t="s">
        <v>1521</v>
      </c>
      <c r="C699" s="4">
        <v>42393</v>
      </c>
      <c r="D699" s="2" t="s">
        <v>405</v>
      </c>
      <c r="E699" s="2" t="s">
        <v>406</v>
      </c>
      <c r="F699" s="2" t="s">
        <v>519</v>
      </c>
      <c r="G699" s="2">
        <v>990.78</v>
      </c>
      <c r="H699" s="21">
        <v>57520</v>
      </c>
      <c r="I699" s="21" t="s">
        <v>167</v>
      </c>
      <c r="J699" s="2" t="s">
        <v>46</v>
      </c>
      <c r="K699" s="2" t="s">
        <v>39</v>
      </c>
      <c r="L699" s="2" t="s">
        <v>35</v>
      </c>
      <c r="M699" s="2"/>
      <c r="N699" s="2" t="s">
        <v>306</v>
      </c>
      <c r="O699" s="2" t="s">
        <v>542</v>
      </c>
      <c r="P699" s="2" t="s">
        <v>1522</v>
      </c>
      <c r="Q699" s="2" t="s">
        <v>110</v>
      </c>
      <c r="R699" s="1">
        <v>3</v>
      </c>
      <c r="S699" s="2"/>
      <c r="T699" s="1" t="s">
        <v>410</v>
      </c>
      <c r="U699" s="3">
        <v>42769</v>
      </c>
      <c r="V699" s="2"/>
      <c r="W699" s="2"/>
      <c r="X699" s="2"/>
      <c r="Y699" s="2"/>
      <c r="Z699" s="1">
        <f ca="1">IF(Table1[[#This Row],[Inactive_Date]]="",DATEDIF(Table1[[#This Row],[Date_Acq]],TODAY(),"m"),DATEDIF(Table1[[#This Row],[Date_Acq]],Table1[[#This Row],[Inactive_Date]],"m"))</f>
        <v>9</v>
      </c>
    </row>
    <row r="700" spans="1:26" s="17" customFormat="1" x14ac:dyDescent="0.4">
      <c r="A700" s="6"/>
      <c r="B700" s="7" t="s">
        <v>1523</v>
      </c>
      <c r="C700" s="4">
        <v>42393</v>
      </c>
      <c r="D700" s="2" t="s">
        <v>405</v>
      </c>
      <c r="E700" s="2" t="s">
        <v>406</v>
      </c>
      <c r="F700" s="2" t="s">
        <v>519</v>
      </c>
      <c r="G700" s="2">
        <v>990.78</v>
      </c>
      <c r="H700" s="21">
        <v>57520</v>
      </c>
      <c r="I700" s="21" t="s">
        <v>167</v>
      </c>
      <c r="J700" s="2" t="s">
        <v>46</v>
      </c>
      <c r="K700" s="2" t="s">
        <v>39</v>
      </c>
      <c r="L700" s="2" t="s">
        <v>35</v>
      </c>
      <c r="M700" s="2"/>
      <c r="N700" s="2" t="s">
        <v>306</v>
      </c>
      <c r="O700" s="2" t="s">
        <v>542</v>
      </c>
      <c r="P700" s="2" t="s">
        <v>1524</v>
      </c>
      <c r="Q700" s="2" t="s">
        <v>110</v>
      </c>
      <c r="R700" s="1">
        <v>3</v>
      </c>
      <c r="S700" s="2"/>
      <c r="T700" s="1" t="s">
        <v>410</v>
      </c>
      <c r="U700" s="3">
        <v>42769</v>
      </c>
      <c r="V700" s="2"/>
      <c r="W700" s="2"/>
      <c r="X700" s="2"/>
      <c r="Y700" s="2"/>
      <c r="Z700" s="1">
        <f ca="1">IF(Table1[[#This Row],[Inactive_Date]]="",DATEDIF(Table1[[#This Row],[Date_Acq]],TODAY(),"m"),DATEDIF(Table1[[#This Row],[Date_Acq]],Table1[[#This Row],[Inactive_Date]],"m"))</f>
        <v>9</v>
      </c>
    </row>
    <row r="701" spans="1:26" s="17" customFormat="1" x14ac:dyDescent="0.4">
      <c r="A701" s="6"/>
      <c r="B701" s="7" t="s">
        <v>1523</v>
      </c>
      <c r="C701" s="4">
        <v>42393</v>
      </c>
      <c r="D701" s="2" t="s">
        <v>405</v>
      </c>
      <c r="E701" s="2" t="s">
        <v>406</v>
      </c>
      <c r="F701" s="2" t="s">
        <v>519</v>
      </c>
      <c r="G701" s="2">
        <v>990.78</v>
      </c>
      <c r="H701" s="21">
        <v>57520</v>
      </c>
      <c r="I701" s="21" t="s">
        <v>167</v>
      </c>
      <c r="J701" s="2" t="s">
        <v>46</v>
      </c>
      <c r="K701" s="2" t="s">
        <v>39</v>
      </c>
      <c r="L701" s="2" t="s">
        <v>35</v>
      </c>
      <c r="M701" s="2"/>
      <c r="N701" s="2" t="s">
        <v>306</v>
      </c>
      <c r="O701" s="2" t="s">
        <v>542</v>
      </c>
      <c r="P701" s="2" t="s">
        <v>1525</v>
      </c>
      <c r="Q701" s="2" t="s">
        <v>110</v>
      </c>
      <c r="R701" s="1">
        <v>3</v>
      </c>
      <c r="S701" s="2"/>
      <c r="T701" s="1" t="s">
        <v>410</v>
      </c>
      <c r="U701" s="3">
        <v>42769</v>
      </c>
      <c r="V701" s="2"/>
      <c r="W701" s="2"/>
      <c r="X701" s="2"/>
      <c r="Y701" s="2"/>
      <c r="Z701" s="1">
        <f ca="1">IF(Table1[[#This Row],[Inactive_Date]]="",DATEDIF(Table1[[#This Row],[Date_Acq]],TODAY(),"m"),DATEDIF(Table1[[#This Row],[Date_Acq]],Table1[[#This Row],[Inactive_Date]],"m"))</f>
        <v>9</v>
      </c>
    </row>
    <row r="702" spans="1:26" s="17" customFormat="1" hidden="1" x14ac:dyDescent="0.4">
      <c r="A702" s="6"/>
      <c r="B702" s="7" t="s">
        <v>1526</v>
      </c>
      <c r="C702" s="4">
        <v>42265</v>
      </c>
      <c r="D702" s="2" t="s">
        <v>1527</v>
      </c>
      <c r="E702" s="2" t="s">
        <v>1528</v>
      </c>
      <c r="F702" s="2"/>
      <c r="G702" s="2">
        <v>253</v>
      </c>
      <c r="H702" s="21"/>
      <c r="I702" s="21" t="s">
        <v>13</v>
      </c>
      <c r="J702" s="2" t="s">
        <v>46</v>
      </c>
      <c r="K702" s="2" t="s">
        <v>34</v>
      </c>
      <c r="L702" s="2" t="s">
        <v>35</v>
      </c>
      <c r="M702" s="2"/>
      <c r="N702" s="2" t="s">
        <v>1529</v>
      </c>
      <c r="O702" s="2" t="s">
        <v>306</v>
      </c>
      <c r="P702" s="2" t="s">
        <v>1530</v>
      </c>
      <c r="Q702" s="2" t="s">
        <v>474</v>
      </c>
      <c r="R702" s="1">
        <v>3</v>
      </c>
      <c r="S702" s="2" t="s">
        <v>1531</v>
      </c>
      <c r="T702" s="1"/>
      <c r="U702" s="1"/>
      <c r="V702" s="2"/>
      <c r="W702" s="2"/>
      <c r="X702" s="2"/>
      <c r="Y702" s="2"/>
      <c r="Z702" s="1">
        <f ca="1">IF(Table1[[#This Row],[Inactive_Date]]="",DATEDIF(Table1[[#This Row],[Date_Acq]],TODAY(),"m"),DATEDIF(Table1[[#This Row],[Date_Acq]],Table1[[#This Row],[Inactive_Date]],"m"))</f>
        <v>14</v>
      </c>
    </row>
    <row r="703" spans="1:26" s="17" customFormat="1" hidden="1" x14ac:dyDescent="0.4">
      <c r="A703" s="6"/>
      <c r="B703" s="7" t="s">
        <v>1532</v>
      </c>
      <c r="C703" s="4">
        <v>42631</v>
      </c>
      <c r="D703" s="2" t="s">
        <v>1527</v>
      </c>
      <c r="E703" s="2" t="s">
        <v>1533</v>
      </c>
      <c r="F703" s="2"/>
      <c r="G703" s="2">
        <v>253</v>
      </c>
      <c r="H703" s="21">
        <v>16522</v>
      </c>
      <c r="I703" s="21" t="s">
        <v>13</v>
      </c>
      <c r="J703" s="2" t="s">
        <v>46</v>
      </c>
      <c r="K703" s="2" t="s">
        <v>34</v>
      </c>
      <c r="L703" s="2" t="s">
        <v>35</v>
      </c>
      <c r="M703" s="2"/>
      <c r="N703" s="2" t="s">
        <v>306</v>
      </c>
      <c r="O703" s="2" t="s">
        <v>1529</v>
      </c>
      <c r="P703" s="2" t="s">
        <v>1534</v>
      </c>
      <c r="Q703" s="2" t="s">
        <v>474</v>
      </c>
      <c r="R703" s="1">
        <v>5</v>
      </c>
      <c r="S703" s="2" t="s">
        <v>1535</v>
      </c>
      <c r="T703" s="1" t="s">
        <v>706</v>
      </c>
      <c r="U703" s="1"/>
      <c r="V703" s="2"/>
      <c r="W703" s="2"/>
      <c r="X703" s="2"/>
      <c r="Y703" s="2"/>
      <c r="Z703" s="1">
        <f ca="1">IF(Table1[[#This Row],[Inactive_Date]]="",DATEDIF(Table1[[#This Row],[Date_Acq]],TODAY(),"m"),DATEDIF(Table1[[#This Row],[Date_Acq]],Table1[[#This Row],[Inactive_Date]],"m"))</f>
        <v>2</v>
      </c>
    </row>
    <row r="704" spans="1:26" s="17" customFormat="1" hidden="1" x14ac:dyDescent="0.4">
      <c r="A704" s="6"/>
      <c r="B704" s="7" t="s">
        <v>1536</v>
      </c>
      <c r="C704" s="4">
        <v>42265</v>
      </c>
      <c r="D704" s="2" t="s">
        <v>1527</v>
      </c>
      <c r="E704" s="2" t="s">
        <v>1537</v>
      </c>
      <c r="F704" s="2"/>
      <c r="G704" s="2">
        <v>253</v>
      </c>
      <c r="H704" s="21">
        <v>16522</v>
      </c>
      <c r="I704" s="21" t="s">
        <v>13</v>
      </c>
      <c r="J704" s="2" t="s">
        <v>46</v>
      </c>
      <c r="K704" s="2" t="s">
        <v>34</v>
      </c>
      <c r="L704" s="2" t="s">
        <v>35</v>
      </c>
      <c r="M704" s="2"/>
      <c r="N704" s="2" t="s">
        <v>306</v>
      </c>
      <c r="O704" s="2" t="s">
        <v>1529</v>
      </c>
      <c r="P704" s="2" t="s">
        <v>1538</v>
      </c>
      <c r="Q704" s="2" t="s">
        <v>474</v>
      </c>
      <c r="R704" s="1">
        <v>3</v>
      </c>
      <c r="S704" s="2" t="s">
        <v>1539</v>
      </c>
      <c r="T704" s="1" t="s">
        <v>706</v>
      </c>
      <c r="U704" s="1"/>
      <c r="V704" s="2"/>
      <c r="W704" s="2"/>
      <c r="X704" s="2"/>
      <c r="Y704" s="2"/>
      <c r="Z704" s="1">
        <f ca="1">IF(Table1[[#This Row],[Inactive_Date]]="",DATEDIF(Table1[[#This Row],[Date_Acq]],TODAY(),"m"),DATEDIF(Table1[[#This Row],[Date_Acq]],Table1[[#This Row],[Inactive_Date]],"m"))</f>
        <v>14</v>
      </c>
    </row>
    <row r="705" spans="1:26" s="17" customFormat="1" hidden="1" x14ac:dyDescent="0.4">
      <c r="A705" s="6"/>
      <c r="B705" s="7" t="s">
        <v>1540</v>
      </c>
      <c r="C705" s="4">
        <v>42262</v>
      </c>
      <c r="D705" s="2" t="s">
        <v>665</v>
      </c>
      <c r="E705" s="2" t="s">
        <v>1541</v>
      </c>
      <c r="F705" s="2"/>
      <c r="G705" s="2">
        <v>350</v>
      </c>
      <c r="H705" s="21">
        <v>16522</v>
      </c>
      <c r="I705" s="21" t="s">
        <v>13</v>
      </c>
      <c r="J705" s="2" t="s">
        <v>46</v>
      </c>
      <c r="K705" s="2" t="s">
        <v>34</v>
      </c>
      <c r="L705" s="2" t="s">
        <v>35</v>
      </c>
      <c r="M705" s="2"/>
      <c r="N705" s="2" t="s">
        <v>709</v>
      </c>
      <c r="O705" s="2" t="s">
        <v>1274</v>
      </c>
      <c r="P705" s="2" t="s">
        <v>1542</v>
      </c>
      <c r="Q705" s="2" t="s">
        <v>474</v>
      </c>
      <c r="R705" s="1">
        <v>3</v>
      </c>
      <c r="S705" s="2" t="s">
        <v>1543</v>
      </c>
      <c r="T705" s="1" t="s">
        <v>706</v>
      </c>
      <c r="U705" s="1"/>
      <c r="V705" s="2"/>
      <c r="W705" s="2"/>
      <c r="X705" s="2"/>
      <c r="Y705" s="2"/>
      <c r="Z705" s="1">
        <f ca="1">IF(Table1[[#This Row],[Inactive_Date]]="",DATEDIF(Table1[[#This Row],[Date_Acq]],TODAY(),"m"),DATEDIF(Table1[[#This Row],[Date_Acq]],Table1[[#This Row],[Inactive_Date]],"m"))</f>
        <v>14</v>
      </c>
    </row>
    <row r="706" spans="1:26" s="17" customFormat="1" hidden="1" x14ac:dyDescent="0.4">
      <c r="A706" s="6"/>
      <c r="B706" s="7" t="s">
        <v>1544</v>
      </c>
      <c r="C706" s="2"/>
      <c r="D706" s="2" t="s">
        <v>665</v>
      </c>
      <c r="E706" s="2" t="s">
        <v>1545</v>
      </c>
      <c r="F706" s="2"/>
      <c r="G706" s="2">
        <v>350</v>
      </c>
      <c r="H706" s="21">
        <v>16522</v>
      </c>
      <c r="I706" s="21" t="s">
        <v>13</v>
      </c>
      <c r="J706" s="2" t="s">
        <v>46</v>
      </c>
      <c r="K706" s="2" t="s">
        <v>34</v>
      </c>
      <c r="L706" s="2" t="s">
        <v>35</v>
      </c>
      <c r="M706" s="2"/>
      <c r="N706" s="2" t="s">
        <v>709</v>
      </c>
      <c r="O706" s="2" t="s">
        <v>1274</v>
      </c>
      <c r="P706" s="2" t="s">
        <v>1546</v>
      </c>
      <c r="Q706" s="2" t="s">
        <v>474</v>
      </c>
      <c r="R706" s="1">
        <v>3</v>
      </c>
      <c r="S706" s="2" t="s">
        <v>1547</v>
      </c>
      <c r="T706" s="1" t="s">
        <v>706</v>
      </c>
      <c r="U706" s="1"/>
      <c r="V706" s="2"/>
      <c r="W706" s="2"/>
      <c r="X706" s="2"/>
      <c r="Y706" s="2"/>
      <c r="Z706" s="1">
        <f ca="1">IF(Table1[[#This Row],[Inactive_Date]]="",DATEDIF(Table1[[#This Row],[Date_Acq]],TODAY(),"m"),DATEDIF(Table1[[#This Row],[Date_Acq]],Table1[[#This Row],[Inactive_Date]],"m"))</f>
        <v>1402</v>
      </c>
    </row>
    <row r="707" spans="1:26" s="17" customFormat="1" hidden="1" x14ac:dyDescent="0.4">
      <c r="A707" s="6"/>
      <c r="B707" s="7" t="s">
        <v>1548</v>
      </c>
      <c r="C707" s="2"/>
      <c r="D707" s="2" t="s">
        <v>665</v>
      </c>
      <c r="E707" s="2" t="s">
        <v>1549</v>
      </c>
      <c r="F707" s="2"/>
      <c r="G707" s="2">
        <v>350</v>
      </c>
      <c r="H707" s="21">
        <v>16522</v>
      </c>
      <c r="I707" s="21" t="s">
        <v>13</v>
      </c>
      <c r="J707" s="2" t="s">
        <v>46</v>
      </c>
      <c r="K707" s="2" t="s">
        <v>34</v>
      </c>
      <c r="L707" s="2" t="s">
        <v>35</v>
      </c>
      <c r="M707" s="2"/>
      <c r="N707" s="2" t="s">
        <v>709</v>
      </c>
      <c r="O707" s="2" t="s">
        <v>1274</v>
      </c>
      <c r="P707" s="2" t="s">
        <v>1550</v>
      </c>
      <c r="Q707" s="2" t="s">
        <v>474</v>
      </c>
      <c r="R707" s="1">
        <v>3</v>
      </c>
      <c r="S707" s="2" t="s">
        <v>1547</v>
      </c>
      <c r="T707" s="1" t="s">
        <v>706</v>
      </c>
      <c r="U707" s="1"/>
      <c r="V707" s="2"/>
      <c r="W707" s="2"/>
      <c r="X707" s="2"/>
      <c r="Y707" s="2"/>
      <c r="Z707" s="1">
        <f ca="1">IF(Table1[[#This Row],[Inactive_Date]]="",DATEDIF(Table1[[#This Row],[Date_Acq]],TODAY(),"m"),DATEDIF(Table1[[#This Row],[Date_Acq]],Table1[[#This Row],[Inactive_Date]],"m"))</f>
        <v>1402</v>
      </c>
    </row>
    <row r="708" spans="1:26" s="17" customFormat="1" hidden="1" x14ac:dyDescent="0.4">
      <c r="A708" s="6"/>
      <c r="B708" s="7" t="s">
        <v>1551</v>
      </c>
      <c r="C708" s="4">
        <v>42262</v>
      </c>
      <c r="D708" s="2" t="s">
        <v>1527</v>
      </c>
      <c r="E708" s="2" t="s">
        <v>1552</v>
      </c>
      <c r="F708" s="2"/>
      <c r="G708" s="2">
        <v>0</v>
      </c>
      <c r="H708" s="21">
        <v>16522</v>
      </c>
      <c r="I708" s="21" t="s">
        <v>13</v>
      </c>
      <c r="J708" s="2" t="s">
        <v>46</v>
      </c>
      <c r="K708" s="2" t="s">
        <v>34</v>
      </c>
      <c r="L708" s="2" t="s">
        <v>35</v>
      </c>
      <c r="M708" s="2"/>
      <c r="N708" s="2" t="s">
        <v>1036</v>
      </c>
      <c r="O708" s="2" t="s">
        <v>1529</v>
      </c>
      <c r="P708" s="2"/>
      <c r="Q708" s="2" t="s">
        <v>474</v>
      </c>
      <c r="R708" s="1">
        <v>3</v>
      </c>
      <c r="S708" s="2" t="s">
        <v>1553</v>
      </c>
      <c r="T708" s="1"/>
      <c r="U708" s="1"/>
      <c r="V708" s="2"/>
      <c r="W708" s="2"/>
      <c r="X708" s="2"/>
      <c r="Y708" s="2"/>
      <c r="Z708" s="1">
        <f ca="1">IF(Table1[[#This Row],[Inactive_Date]]="",DATEDIF(Table1[[#This Row],[Date_Acq]],TODAY(),"m"),DATEDIF(Table1[[#This Row],[Date_Acq]],Table1[[#This Row],[Inactive_Date]],"m"))</f>
        <v>14</v>
      </c>
    </row>
    <row r="709" spans="1:26" s="17" customFormat="1" hidden="1" x14ac:dyDescent="0.4">
      <c r="A709" s="6"/>
      <c r="B709" s="7" t="s">
        <v>1554</v>
      </c>
      <c r="C709" s="2"/>
      <c r="D709" s="2" t="s">
        <v>665</v>
      </c>
      <c r="E709" s="2" t="s">
        <v>1555</v>
      </c>
      <c r="F709" s="2"/>
      <c r="G709" s="2">
        <v>0</v>
      </c>
      <c r="H709" s="21">
        <v>16522</v>
      </c>
      <c r="I709" s="21" t="s">
        <v>13</v>
      </c>
      <c r="J709" s="2" t="s">
        <v>46</v>
      </c>
      <c r="K709" s="2" t="s">
        <v>34</v>
      </c>
      <c r="L709" s="2" t="s">
        <v>35</v>
      </c>
      <c r="M709" s="2"/>
      <c r="N709" s="2" t="s">
        <v>1036</v>
      </c>
      <c r="O709" s="2" t="s">
        <v>1556</v>
      </c>
      <c r="P709" s="2"/>
      <c r="Q709" s="2" t="s">
        <v>474</v>
      </c>
      <c r="R709" s="1"/>
      <c r="S709" s="2" t="s">
        <v>1553</v>
      </c>
      <c r="T709" s="1"/>
      <c r="U709" s="1"/>
      <c r="V709" s="2"/>
      <c r="W709" s="2"/>
      <c r="X709" s="2"/>
      <c r="Y709" s="2"/>
      <c r="Z709" s="1">
        <f ca="1">IF(Table1[[#This Row],[Inactive_Date]]="",DATEDIF(Table1[[#This Row],[Date_Acq]],TODAY(),"m"),DATEDIF(Table1[[#This Row],[Date_Acq]],Table1[[#This Row],[Inactive_Date]],"m"))</f>
        <v>1402</v>
      </c>
    </row>
    <row r="710" spans="1:26" s="17" customFormat="1" hidden="1" x14ac:dyDescent="0.4">
      <c r="A710" s="6"/>
      <c r="B710" s="7" t="s">
        <v>1557</v>
      </c>
      <c r="C710" s="4">
        <v>42262</v>
      </c>
      <c r="D710" s="2" t="s">
        <v>1527</v>
      </c>
      <c r="E710" s="2" t="s">
        <v>1558</v>
      </c>
      <c r="F710" s="2"/>
      <c r="G710" s="2">
        <v>232</v>
      </c>
      <c r="H710" s="21">
        <v>16522</v>
      </c>
      <c r="I710" s="21" t="s">
        <v>13</v>
      </c>
      <c r="J710" s="2" t="s">
        <v>46</v>
      </c>
      <c r="K710" s="2" t="s">
        <v>34</v>
      </c>
      <c r="L710" s="2" t="s">
        <v>35</v>
      </c>
      <c r="M710" s="2"/>
      <c r="N710" s="2" t="s">
        <v>1038</v>
      </c>
      <c r="O710" s="2" t="s">
        <v>1556</v>
      </c>
      <c r="P710" s="2"/>
      <c r="Q710" s="2" t="s">
        <v>474</v>
      </c>
      <c r="R710" s="1">
        <v>3</v>
      </c>
      <c r="S710" s="2" t="s">
        <v>1553</v>
      </c>
      <c r="T710" s="1"/>
      <c r="U710" s="1"/>
      <c r="V710" s="2"/>
      <c r="W710" s="2"/>
      <c r="X710" s="2"/>
      <c r="Y710" s="2"/>
      <c r="Z710" s="1">
        <f ca="1">IF(Table1[[#This Row],[Inactive_Date]]="",DATEDIF(Table1[[#This Row],[Date_Acq]],TODAY(),"m"),DATEDIF(Table1[[#This Row],[Date_Acq]],Table1[[#This Row],[Inactive_Date]],"m"))</f>
        <v>14</v>
      </c>
    </row>
    <row r="711" spans="1:26" s="17" customFormat="1" hidden="1" x14ac:dyDescent="0.4">
      <c r="A711" s="6"/>
      <c r="B711" s="7" t="s">
        <v>1559</v>
      </c>
      <c r="C711" s="4">
        <v>42262</v>
      </c>
      <c r="D711" s="2" t="s">
        <v>665</v>
      </c>
      <c r="E711" s="2" t="s">
        <v>1560</v>
      </c>
      <c r="F711" s="2"/>
      <c r="G711" s="2">
        <v>350</v>
      </c>
      <c r="H711" s="21">
        <v>16522</v>
      </c>
      <c r="I711" s="21" t="s">
        <v>13</v>
      </c>
      <c r="J711" s="2" t="s">
        <v>46</v>
      </c>
      <c r="K711" s="2" t="s">
        <v>34</v>
      </c>
      <c r="L711" s="2" t="s">
        <v>35</v>
      </c>
      <c r="M711" s="2"/>
      <c r="N711" s="2" t="s">
        <v>709</v>
      </c>
      <c r="O711" s="2" t="s">
        <v>1274</v>
      </c>
      <c r="P711" s="2" t="s">
        <v>1561</v>
      </c>
      <c r="Q711" s="2" t="s">
        <v>474</v>
      </c>
      <c r="R711" s="1">
        <v>3</v>
      </c>
      <c r="S711" s="2" t="s">
        <v>1562</v>
      </c>
      <c r="T711" s="1" t="s">
        <v>706</v>
      </c>
      <c r="U711" s="1"/>
      <c r="V711" s="2"/>
      <c r="W711" s="2"/>
      <c r="X711" s="2"/>
      <c r="Y711" s="2"/>
      <c r="Z711" s="1">
        <f ca="1">IF(Table1[[#This Row],[Inactive_Date]]="",DATEDIF(Table1[[#This Row],[Date_Acq]],TODAY(),"m"),DATEDIF(Table1[[#This Row],[Date_Acq]],Table1[[#This Row],[Inactive_Date]],"m"))</f>
        <v>14</v>
      </c>
    </row>
    <row r="712" spans="1:26" s="17" customFormat="1" hidden="1" x14ac:dyDescent="0.4">
      <c r="A712" s="6"/>
      <c r="B712" s="7" t="s">
        <v>1563</v>
      </c>
      <c r="C712" s="2"/>
      <c r="D712" s="2" t="s">
        <v>665</v>
      </c>
      <c r="E712" s="2" t="s">
        <v>1564</v>
      </c>
      <c r="F712" s="2"/>
      <c r="G712" s="2"/>
      <c r="H712" s="21">
        <v>16522</v>
      </c>
      <c r="I712" s="21" t="s">
        <v>13</v>
      </c>
      <c r="J712" s="2" t="s">
        <v>46</v>
      </c>
      <c r="K712" s="2" t="s">
        <v>34</v>
      </c>
      <c r="L712" s="2" t="s">
        <v>35</v>
      </c>
      <c r="M712" s="2"/>
      <c r="N712" s="2" t="s">
        <v>709</v>
      </c>
      <c r="O712" s="2" t="s">
        <v>1274</v>
      </c>
      <c r="P712" s="2" t="s">
        <v>1565</v>
      </c>
      <c r="Q712" s="2" t="s">
        <v>474</v>
      </c>
      <c r="R712" s="1">
        <v>3</v>
      </c>
      <c r="S712" s="2" t="s">
        <v>1547</v>
      </c>
      <c r="T712" s="1" t="s">
        <v>706</v>
      </c>
      <c r="U712" s="1"/>
      <c r="V712" s="2"/>
      <c r="W712" s="2"/>
      <c r="X712" s="2"/>
      <c r="Y712" s="2"/>
      <c r="Z712" s="1">
        <f ca="1">IF(Table1[[#This Row],[Inactive_Date]]="",DATEDIF(Table1[[#This Row],[Date_Acq]],TODAY(),"m"),DATEDIF(Table1[[#This Row],[Date_Acq]],Table1[[#This Row],[Inactive_Date]],"m"))</f>
        <v>1402</v>
      </c>
    </row>
    <row r="713" spans="1:26" s="17" customFormat="1" hidden="1" x14ac:dyDescent="0.4">
      <c r="A713" s="6"/>
      <c r="B713" s="7" t="s">
        <v>1566</v>
      </c>
      <c r="C713" s="4">
        <v>42262</v>
      </c>
      <c r="D713" s="2" t="s">
        <v>665</v>
      </c>
      <c r="E713" s="2" t="s">
        <v>1567</v>
      </c>
      <c r="F713" s="2"/>
      <c r="G713" s="2">
        <v>350</v>
      </c>
      <c r="H713" s="21">
        <v>16522</v>
      </c>
      <c r="I713" s="21" t="s">
        <v>13</v>
      </c>
      <c r="J713" s="2" t="s">
        <v>46</v>
      </c>
      <c r="K713" s="2" t="s">
        <v>34</v>
      </c>
      <c r="L713" s="2" t="s">
        <v>35</v>
      </c>
      <c r="M713" s="2"/>
      <c r="N713" s="2" t="s">
        <v>709</v>
      </c>
      <c r="O713" s="2" t="s">
        <v>1274</v>
      </c>
      <c r="P713" s="2" t="s">
        <v>1568</v>
      </c>
      <c r="Q713" s="2" t="s">
        <v>474</v>
      </c>
      <c r="R713" s="1">
        <v>3</v>
      </c>
      <c r="S713" s="2" t="s">
        <v>1547</v>
      </c>
      <c r="T713" s="1"/>
      <c r="U713" s="1"/>
      <c r="V713" s="2"/>
      <c r="W713" s="2"/>
      <c r="X713" s="2"/>
      <c r="Y713" s="2"/>
      <c r="Z713" s="1">
        <f ca="1">IF(Table1[[#This Row],[Inactive_Date]]="",DATEDIF(Table1[[#This Row],[Date_Acq]],TODAY(),"m"),DATEDIF(Table1[[#This Row],[Date_Acq]],Table1[[#This Row],[Inactive_Date]],"m"))</f>
        <v>14</v>
      </c>
    </row>
    <row r="714" spans="1:26" s="17" customFormat="1" hidden="1" x14ac:dyDescent="0.4">
      <c r="A714" s="6"/>
      <c r="B714" s="7" t="s">
        <v>1569</v>
      </c>
      <c r="C714" s="4">
        <v>42166</v>
      </c>
      <c r="D714" s="2" t="s">
        <v>405</v>
      </c>
      <c r="E714" s="2" t="s">
        <v>1570</v>
      </c>
      <c r="F714" s="2" t="s">
        <v>1571</v>
      </c>
      <c r="G714" s="2">
        <v>643</v>
      </c>
      <c r="H714" s="21">
        <v>57522</v>
      </c>
      <c r="I714" s="21" t="s">
        <v>13</v>
      </c>
      <c r="J714" s="2" t="s">
        <v>46</v>
      </c>
      <c r="K714" s="2" t="s">
        <v>34</v>
      </c>
      <c r="L714" s="2" t="s">
        <v>35</v>
      </c>
      <c r="M714" s="2"/>
      <c r="N714" s="2" t="s">
        <v>306</v>
      </c>
      <c r="O714" s="2"/>
      <c r="P714" s="2"/>
      <c r="Q714" s="2" t="s">
        <v>1572</v>
      </c>
      <c r="R714" s="1"/>
      <c r="S714" s="2" t="s">
        <v>1573</v>
      </c>
      <c r="T714" s="1"/>
      <c r="U714" s="3">
        <v>42532</v>
      </c>
      <c r="V714" s="2"/>
      <c r="W714" s="2"/>
      <c r="X714" s="2"/>
      <c r="Y714" s="2"/>
      <c r="Z714" s="1">
        <f ca="1">IF(Table1[[#This Row],[Inactive_Date]]="",DATEDIF(Table1[[#This Row],[Date_Acq]],TODAY(),"m"),DATEDIF(Table1[[#This Row],[Date_Acq]],Table1[[#This Row],[Inactive_Date]],"m"))</f>
        <v>17</v>
      </c>
    </row>
    <row r="715" spans="1:26" s="17" customFormat="1" hidden="1" x14ac:dyDescent="0.4">
      <c r="A715" s="6"/>
      <c r="B715" s="7" t="s">
        <v>1574</v>
      </c>
      <c r="C715" s="2"/>
      <c r="D715" s="2" t="s">
        <v>405</v>
      </c>
      <c r="E715" s="2" t="s">
        <v>1570</v>
      </c>
      <c r="F715" s="2" t="s">
        <v>1575</v>
      </c>
      <c r="G715" s="2">
        <v>0</v>
      </c>
      <c r="H715" s="21">
        <v>57522</v>
      </c>
      <c r="I715" s="21" t="s">
        <v>13</v>
      </c>
      <c r="J715" s="2" t="s">
        <v>46</v>
      </c>
      <c r="K715" s="2" t="s">
        <v>34</v>
      </c>
      <c r="L715" s="2" t="s">
        <v>35</v>
      </c>
      <c r="M715" s="2"/>
      <c r="N715" s="2" t="s">
        <v>306</v>
      </c>
      <c r="O715" s="2"/>
      <c r="P715" s="2"/>
      <c r="Q715" s="2" t="s">
        <v>1572</v>
      </c>
      <c r="R715" s="1">
        <v>3</v>
      </c>
      <c r="S715" s="2" t="s">
        <v>1576</v>
      </c>
      <c r="T715" s="1" t="s">
        <v>706</v>
      </c>
      <c r="U715" s="1"/>
      <c r="V715" s="2"/>
      <c r="W715" s="2"/>
      <c r="X715" s="2"/>
      <c r="Y715" s="2"/>
      <c r="Z715" s="1">
        <f ca="1">IF(Table1[[#This Row],[Inactive_Date]]="",DATEDIF(Table1[[#This Row],[Date_Acq]],TODAY(),"m"),DATEDIF(Table1[[#This Row],[Date_Acq]],Table1[[#This Row],[Inactive_Date]],"m"))</f>
        <v>1402</v>
      </c>
    </row>
    <row r="716" spans="1:26" s="17" customFormat="1" hidden="1" x14ac:dyDescent="0.4">
      <c r="A716" s="6"/>
      <c r="B716" s="7" t="s">
        <v>1577</v>
      </c>
      <c r="C716" s="4">
        <v>42335</v>
      </c>
      <c r="D716" s="2" t="s">
        <v>1578</v>
      </c>
      <c r="E716" s="2" t="s">
        <v>1513</v>
      </c>
      <c r="F716" s="2"/>
      <c r="G716" s="2">
        <v>199</v>
      </c>
      <c r="H716" s="21">
        <v>0</v>
      </c>
      <c r="I716" s="21" t="s">
        <v>13</v>
      </c>
      <c r="J716" s="2" t="s">
        <v>46</v>
      </c>
      <c r="K716" s="2" t="s">
        <v>34</v>
      </c>
      <c r="L716" s="2" t="s">
        <v>35</v>
      </c>
      <c r="M716" s="2"/>
      <c r="N716" s="2"/>
      <c r="O716" s="2" t="s">
        <v>1579</v>
      </c>
      <c r="P716" s="2" t="s">
        <v>1580</v>
      </c>
      <c r="Q716" s="2" t="s">
        <v>110</v>
      </c>
      <c r="R716" s="1">
        <v>3</v>
      </c>
      <c r="S716" s="2" t="s">
        <v>1581</v>
      </c>
      <c r="T716" s="1" t="s">
        <v>410</v>
      </c>
      <c r="U716" s="3">
        <v>42704</v>
      </c>
      <c r="V716" s="2"/>
      <c r="W716" s="2"/>
      <c r="X716" s="2"/>
      <c r="Y716" s="2"/>
      <c r="Z716" s="1">
        <f ca="1">IF(Table1[[#This Row],[Inactive_Date]]="",DATEDIF(Table1[[#This Row],[Date_Acq]],TODAY(),"m"),DATEDIF(Table1[[#This Row],[Date_Acq]],Table1[[#This Row],[Inactive_Date]],"m"))</f>
        <v>11</v>
      </c>
    </row>
    <row r="717" spans="1:26" s="17" customFormat="1" hidden="1" x14ac:dyDescent="0.4">
      <c r="A717" s="6"/>
      <c r="B717" s="7" t="s">
        <v>1582</v>
      </c>
      <c r="C717" s="4">
        <v>42428</v>
      </c>
      <c r="D717" s="2" t="s">
        <v>437</v>
      </c>
      <c r="E717" s="2" t="s">
        <v>1583</v>
      </c>
      <c r="F717" s="2"/>
      <c r="G717" s="2">
        <v>199</v>
      </c>
      <c r="H717" s="21"/>
      <c r="I717" s="21" t="s">
        <v>13</v>
      </c>
      <c r="J717" s="2" t="s">
        <v>46</v>
      </c>
      <c r="K717" s="2" t="s">
        <v>34</v>
      </c>
      <c r="L717" s="2" t="s">
        <v>35</v>
      </c>
      <c r="M717" s="2"/>
      <c r="N717" s="2" t="s">
        <v>1584</v>
      </c>
      <c r="O717" s="2" t="s">
        <v>1585</v>
      </c>
      <c r="P717" s="2"/>
      <c r="Q717" s="2" t="s">
        <v>110</v>
      </c>
      <c r="R717" s="1">
        <v>3</v>
      </c>
      <c r="S717" s="2"/>
      <c r="T717" s="1" t="s">
        <v>410</v>
      </c>
      <c r="U717" s="3">
        <v>42794</v>
      </c>
      <c r="V717" s="2"/>
      <c r="W717" s="2"/>
      <c r="X717" s="2"/>
      <c r="Y717" s="2"/>
      <c r="Z717" s="1">
        <f ca="1">IF(Table1[[#This Row],[Inactive_Date]]="",DATEDIF(Table1[[#This Row],[Date_Acq]],TODAY(),"m"),DATEDIF(Table1[[#This Row],[Date_Acq]],Table1[[#This Row],[Inactive_Date]],"m"))</f>
        <v>8</v>
      </c>
    </row>
    <row r="718" spans="1:26" s="17" customFormat="1" hidden="1" x14ac:dyDescent="0.4">
      <c r="A718" s="6"/>
      <c r="B718" s="7" t="s">
        <v>1586</v>
      </c>
      <c r="C718" s="4">
        <v>42428</v>
      </c>
      <c r="D718" s="2" t="s">
        <v>437</v>
      </c>
      <c r="E718" s="2" t="s">
        <v>1583</v>
      </c>
      <c r="F718" s="2"/>
      <c r="G718" s="2">
        <v>199</v>
      </c>
      <c r="H718" s="21"/>
      <c r="I718" s="21" t="s">
        <v>13</v>
      </c>
      <c r="J718" s="2" t="s">
        <v>46</v>
      </c>
      <c r="K718" s="2" t="s">
        <v>34</v>
      </c>
      <c r="L718" s="2" t="s">
        <v>35</v>
      </c>
      <c r="M718" s="2"/>
      <c r="N718" s="2" t="s">
        <v>1584</v>
      </c>
      <c r="O718" s="2" t="s">
        <v>1585</v>
      </c>
      <c r="P718" s="2"/>
      <c r="Q718" s="2" t="s">
        <v>110</v>
      </c>
      <c r="R718" s="1">
        <v>3</v>
      </c>
      <c r="S718" s="2"/>
      <c r="T718" s="1" t="s">
        <v>410</v>
      </c>
      <c r="U718" s="3">
        <v>42794</v>
      </c>
      <c r="V718" s="2"/>
      <c r="W718" s="2"/>
      <c r="X718" s="2"/>
      <c r="Y718" s="2"/>
      <c r="Z718" s="1">
        <f ca="1">IF(Table1[[#This Row],[Inactive_Date]]="",DATEDIF(Table1[[#This Row],[Date_Acq]],TODAY(),"m"),DATEDIF(Table1[[#This Row],[Date_Acq]],Table1[[#This Row],[Inactive_Date]],"m"))</f>
        <v>8</v>
      </c>
    </row>
    <row r="719" spans="1:26" s="17" customFormat="1" hidden="1" x14ac:dyDescent="0.4">
      <c r="A719" s="6"/>
      <c r="B719" s="7" t="s">
        <v>1587</v>
      </c>
      <c r="C719" s="4">
        <v>42473</v>
      </c>
      <c r="D719" s="2" t="s">
        <v>306</v>
      </c>
      <c r="E719" s="2" t="s">
        <v>1588</v>
      </c>
      <c r="F719" s="2"/>
      <c r="G719" s="2">
        <v>563</v>
      </c>
      <c r="H719" s="21"/>
      <c r="I719" s="21" t="s">
        <v>108</v>
      </c>
      <c r="J719" s="2" t="s">
        <v>46</v>
      </c>
      <c r="K719" s="2" t="s">
        <v>34</v>
      </c>
      <c r="L719" s="2" t="s">
        <v>35</v>
      </c>
      <c r="M719" s="2"/>
      <c r="N719" s="2" t="s">
        <v>306</v>
      </c>
      <c r="O719" s="2" t="s">
        <v>1589</v>
      </c>
      <c r="P719" s="2" t="s">
        <v>1590</v>
      </c>
      <c r="Q719" s="2" t="s">
        <v>110</v>
      </c>
      <c r="R719" s="1">
        <v>3</v>
      </c>
      <c r="S719" s="2"/>
      <c r="T719" s="1" t="s">
        <v>410</v>
      </c>
      <c r="U719" s="3">
        <v>42838</v>
      </c>
      <c r="V719" s="2"/>
      <c r="W719" s="2"/>
      <c r="X719" s="2"/>
      <c r="Y719" s="2"/>
      <c r="Z719" s="1">
        <f ca="1">IF(Table1[[#This Row],[Inactive_Date]]="",DATEDIF(Table1[[#This Row],[Date_Acq]],TODAY(),"m"),DATEDIF(Table1[[#This Row],[Date_Acq]],Table1[[#This Row],[Inactive_Date]],"m"))</f>
        <v>7</v>
      </c>
    </row>
    <row r="720" spans="1:26" s="17" customFormat="1" x14ac:dyDescent="0.4">
      <c r="A720" s="6"/>
      <c r="B720" s="7" t="s">
        <v>1591</v>
      </c>
      <c r="C720" s="4">
        <v>41183</v>
      </c>
      <c r="D720" s="2" t="s">
        <v>306</v>
      </c>
      <c r="E720" s="2" t="s">
        <v>1592</v>
      </c>
      <c r="F720" s="2" t="s">
        <v>1592</v>
      </c>
      <c r="G720" s="2">
        <v>3495</v>
      </c>
      <c r="H720" s="21">
        <v>57520</v>
      </c>
      <c r="I720" s="21" t="s">
        <v>13</v>
      </c>
      <c r="J720" s="2" t="s">
        <v>46</v>
      </c>
      <c r="K720" s="2" t="s">
        <v>39</v>
      </c>
      <c r="L720" s="2" t="s">
        <v>35</v>
      </c>
      <c r="M720" s="2"/>
      <c r="N720" s="2" t="s">
        <v>306</v>
      </c>
      <c r="O720" s="2"/>
      <c r="P720" s="2"/>
      <c r="Q720" s="2" t="s">
        <v>1016</v>
      </c>
      <c r="R720" s="1">
        <v>3</v>
      </c>
      <c r="S720" s="2"/>
      <c r="T720" s="1" t="s">
        <v>706</v>
      </c>
      <c r="U720" s="1"/>
      <c r="V720" s="2"/>
      <c r="W720" s="2"/>
      <c r="X720" s="2"/>
      <c r="Y720" s="2"/>
      <c r="Z720" s="1">
        <f ca="1">IF(Table1[[#This Row],[Inactive_Date]]="",DATEDIF(Table1[[#This Row],[Date_Acq]],TODAY(),"m"),DATEDIF(Table1[[#This Row],[Date_Acq]],Table1[[#This Row],[Inactive_Date]],"m"))</f>
        <v>49</v>
      </c>
    </row>
    <row r="721" spans="1:26" s="17" customFormat="1" x14ac:dyDescent="0.4">
      <c r="A721" s="6"/>
      <c r="B721" s="7" t="s">
        <v>1593</v>
      </c>
      <c r="C721" s="4">
        <v>41002</v>
      </c>
      <c r="D721" s="2" t="s">
        <v>102</v>
      </c>
      <c r="E721" s="2" t="s">
        <v>1594</v>
      </c>
      <c r="F721" s="2" t="s">
        <v>1594</v>
      </c>
      <c r="G721" s="2">
        <v>1551.05</v>
      </c>
      <c r="H721" s="21">
        <v>57520</v>
      </c>
      <c r="I721" s="21" t="s">
        <v>108</v>
      </c>
      <c r="J721" s="2" t="s">
        <v>46</v>
      </c>
      <c r="K721" s="2" t="s">
        <v>39</v>
      </c>
      <c r="L721" s="2" t="s">
        <v>35</v>
      </c>
      <c r="M721" s="2"/>
      <c r="N721" s="2" t="s">
        <v>102</v>
      </c>
      <c r="O721" s="2"/>
      <c r="P721" s="2"/>
      <c r="Q721" s="2"/>
      <c r="R721" s="1"/>
      <c r="S721" s="2" t="s">
        <v>1595</v>
      </c>
      <c r="T721" s="1"/>
      <c r="U721" s="1"/>
      <c r="V721" s="2"/>
      <c r="W721" s="2"/>
      <c r="X721" s="2"/>
      <c r="Y721" s="2"/>
      <c r="Z721" s="1">
        <f ca="1">IF(Table1[[#This Row],[Inactive_Date]]="",DATEDIF(Table1[[#This Row],[Date_Acq]],TODAY(),"m"),DATEDIF(Table1[[#This Row],[Date_Acq]],Table1[[#This Row],[Inactive_Date]],"m"))</f>
        <v>55</v>
      </c>
    </row>
    <row r="722" spans="1:26" s="17" customFormat="1" x14ac:dyDescent="0.4">
      <c r="A722" s="6"/>
      <c r="B722" s="7" t="s">
        <v>1596</v>
      </c>
      <c r="C722" s="4">
        <v>40972</v>
      </c>
      <c r="D722" s="2" t="s">
        <v>306</v>
      </c>
      <c r="E722" s="2" t="s">
        <v>1597</v>
      </c>
      <c r="F722" s="2" t="s">
        <v>1597</v>
      </c>
      <c r="G722" s="2">
        <v>2207</v>
      </c>
      <c r="H722" s="21"/>
      <c r="I722" s="21" t="s">
        <v>167</v>
      </c>
      <c r="J722" s="2" t="s">
        <v>46</v>
      </c>
      <c r="K722" s="2" t="s">
        <v>39</v>
      </c>
      <c r="L722" s="2" t="s">
        <v>35</v>
      </c>
      <c r="M722" s="2"/>
      <c r="N722" s="2" t="s">
        <v>306</v>
      </c>
      <c r="O722" s="2"/>
      <c r="P722" s="2" t="s">
        <v>1598</v>
      </c>
      <c r="Q722" s="2"/>
      <c r="R722" s="1">
        <v>3</v>
      </c>
      <c r="S722" s="2" t="s">
        <v>1599</v>
      </c>
      <c r="T722" s="1" t="s">
        <v>410</v>
      </c>
      <c r="U722" s="1"/>
      <c r="V722" s="2"/>
      <c r="W722" s="2"/>
      <c r="X722" s="2"/>
      <c r="Y722" s="2"/>
      <c r="Z722" s="1">
        <f ca="1">IF(Table1[[#This Row],[Inactive_Date]]="",DATEDIF(Table1[[#This Row],[Date_Acq]],TODAY(),"m"),DATEDIF(Table1[[#This Row],[Date_Acq]],Table1[[#This Row],[Inactive_Date]],"m"))</f>
        <v>56</v>
      </c>
    </row>
    <row r="723" spans="1:26" s="17" customFormat="1" hidden="1" x14ac:dyDescent="0.4">
      <c r="A723" s="6"/>
      <c r="B723" s="7" t="s">
        <v>1600</v>
      </c>
      <c r="C723" s="4">
        <v>40919</v>
      </c>
      <c r="D723" s="2" t="s">
        <v>306</v>
      </c>
      <c r="E723" s="2" t="s">
        <v>1601</v>
      </c>
      <c r="F723" s="2" t="s">
        <v>1601</v>
      </c>
      <c r="G723" s="2">
        <v>1957</v>
      </c>
      <c r="H723" s="21">
        <v>0</v>
      </c>
      <c r="I723" s="21" t="s">
        <v>167</v>
      </c>
      <c r="J723" s="2" t="s">
        <v>46</v>
      </c>
      <c r="K723" s="2" t="s">
        <v>34</v>
      </c>
      <c r="L723" s="2" t="s">
        <v>35</v>
      </c>
      <c r="M723" s="2"/>
      <c r="N723" s="2" t="s">
        <v>306</v>
      </c>
      <c r="O723" s="2"/>
      <c r="P723" s="2" t="s">
        <v>1602</v>
      </c>
      <c r="Q723" s="2"/>
      <c r="R723" s="1"/>
      <c r="S723" s="2" t="s">
        <v>1603</v>
      </c>
      <c r="T723" s="1"/>
      <c r="U723" s="1"/>
      <c r="V723" s="2"/>
      <c r="W723" s="2"/>
      <c r="X723" s="2"/>
      <c r="Y723" s="2"/>
      <c r="Z723" s="1">
        <f ca="1">IF(Table1[[#This Row],[Inactive_Date]]="",DATEDIF(Table1[[#This Row],[Date_Acq]],TODAY(),"m"),DATEDIF(Table1[[#This Row],[Date_Acq]],Table1[[#This Row],[Inactive_Date]],"m"))</f>
        <v>58</v>
      </c>
    </row>
    <row r="724" spans="1:26" s="17" customFormat="1" x14ac:dyDescent="0.4">
      <c r="A724" s="6"/>
      <c r="B724" s="7" t="s">
        <v>1604</v>
      </c>
      <c r="C724" s="4">
        <v>39952</v>
      </c>
      <c r="D724" s="2" t="s">
        <v>301</v>
      </c>
      <c r="E724" s="2" t="s">
        <v>1605</v>
      </c>
      <c r="F724" s="2" t="s">
        <v>1605</v>
      </c>
      <c r="G724" s="2">
        <v>1303.99</v>
      </c>
      <c r="H724" s="21">
        <v>57520</v>
      </c>
      <c r="I724" s="21" t="s">
        <v>108</v>
      </c>
      <c r="J724" s="2" t="s">
        <v>46</v>
      </c>
      <c r="K724" s="2" t="s">
        <v>39</v>
      </c>
      <c r="L724" s="2" t="s">
        <v>35</v>
      </c>
      <c r="M724" s="2"/>
      <c r="N724" s="2" t="s">
        <v>1606</v>
      </c>
      <c r="O724" s="2" t="s">
        <v>1607</v>
      </c>
      <c r="P724" s="2"/>
      <c r="Q724" s="2" t="s">
        <v>1016</v>
      </c>
      <c r="R724" s="1">
        <v>3</v>
      </c>
      <c r="S724" s="2"/>
      <c r="T724" s="1" t="s">
        <v>706</v>
      </c>
      <c r="U724" s="1"/>
      <c r="V724" s="2"/>
      <c r="W724" s="2"/>
      <c r="X724" s="2"/>
      <c r="Y724" s="2"/>
      <c r="Z724" s="1">
        <f ca="1">IF(Table1[[#This Row],[Inactive_Date]]="",DATEDIF(Table1[[#This Row],[Date_Acq]],TODAY(),"m"),DATEDIF(Table1[[#This Row],[Date_Acq]],Table1[[#This Row],[Inactive_Date]],"m"))</f>
        <v>90</v>
      </c>
    </row>
    <row r="725" spans="1:26" s="17" customFormat="1" hidden="1" x14ac:dyDescent="0.4">
      <c r="A725" s="6"/>
      <c r="B725" s="7" t="s">
        <v>1608</v>
      </c>
      <c r="C725" s="4">
        <v>41664</v>
      </c>
      <c r="D725" s="2" t="s">
        <v>257</v>
      </c>
      <c r="E725" s="2" t="s">
        <v>1609</v>
      </c>
      <c r="F725" s="2" t="s">
        <v>1609</v>
      </c>
      <c r="G725" s="2">
        <v>999.99</v>
      </c>
      <c r="H725" s="21"/>
      <c r="I725" s="21" t="s">
        <v>108</v>
      </c>
      <c r="J725" s="2" t="s">
        <v>46</v>
      </c>
      <c r="K725" s="2" t="s">
        <v>34</v>
      </c>
      <c r="L725" s="2" t="s">
        <v>35</v>
      </c>
      <c r="M725" s="2"/>
      <c r="N725" s="2" t="s">
        <v>257</v>
      </c>
      <c r="O725" s="2" t="s">
        <v>703</v>
      </c>
      <c r="P725" s="2"/>
      <c r="Q725" s="2" t="s">
        <v>446</v>
      </c>
      <c r="R725" s="1">
        <v>3</v>
      </c>
      <c r="S725" s="2" t="s">
        <v>1103</v>
      </c>
      <c r="T725" s="1" t="s">
        <v>706</v>
      </c>
      <c r="U725" s="1"/>
      <c r="V725" s="2"/>
      <c r="W725" s="2"/>
      <c r="X725" s="2"/>
      <c r="Y725" s="2"/>
      <c r="Z725" s="1">
        <f ca="1">IF(Table1[[#This Row],[Inactive_Date]]="",DATEDIF(Table1[[#This Row],[Date_Acq]],TODAY(),"m"),DATEDIF(Table1[[#This Row],[Date_Acq]],Table1[[#This Row],[Inactive_Date]],"m"))</f>
        <v>33</v>
      </c>
    </row>
    <row r="726" spans="1:26" s="17" customFormat="1" x14ac:dyDescent="0.4">
      <c r="A726" s="6"/>
      <c r="B726" s="7" t="s">
        <v>1610</v>
      </c>
      <c r="C726" s="4">
        <v>38985</v>
      </c>
      <c r="D726" s="2" t="s">
        <v>1219</v>
      </c>
      <c r="E726" s="2" t="s">
        <v>1611</v>
      </c>
      <c r="F726" s="2" t="s">
        <v>1611</v>
      </c>
      <c r="G726" s="2">
        <v>660</v>
      </c>
      <c r="H726" s="21"/>
      <c r="I726" s="21" t="s">
        <v>309</v>
      </c>
      <c r="J726" s="2" t="s">
        <v>46</v>
      </c>
      <c r="K726" s="2" t="s">
        <v>39</v>
      </c>
      <c r="L726" s="2" t="s">
        <v>35</v>
      </c>
      <c r="M726" s="2"/>
      <c r="N726" s="2" t="s">
        <v>1219</v>
      </c>
      <c r="O726" s="2"/>
      <c r="P726" s="2"/>
      <c r="Q726" s="2" t="s">
        <v>1016</v>
      </c>
      <c r="R726" s="1">
        <v>5</v>
      </c>
      <c r="S726" s="2" t="s">
        <v>1109</v>
      </c>
      <c r="T726" s="1"/>
      <c r="U726" s="1"/>
      <c r="V726" s="2"/>
      <c r="W726" s="2"/>
      <c r="X726" s="2"/>
      <c r="Y726" s="2"/>
      <c r="Z726" s="1">
        <f ca="1">IF(Table1[[#This Row],[Inactive_Date]]="",DATEDIF(Table1[[#This Row],[Date_Acq]],TODAY(),"m"),DATEDIF(Table1[[#This Row],[Date_Acq]],Table1[[#This Row],[Inactive_Date]],"m"))</f>
        <v>121</v>
      </c>
    </row>
    <row r="727" spans="1:26" s="17" customFormat="1" x14ac:dyDescent="0.4">
      <c r="A727" s="6"/>
      <c r="B727" s="7" t="s">
        <v>1612</v>
      </c>
      <c r="C727" s="4">
        <v>38978</v>
      </c>
      <c r="D727" s="2" t="s">
        <v>1219</v>
      </c>
      <c r="E727" s="2" t="s">
        <v>1613</v>
      </c>
      <c r="F727" s="2" t="s">
        <v>1613</v>
      </c>
      <c r="G727" s="2">
        <v>1069</v>
      </c>
      <c r="H727" s="21"/>
      <c r="I727" s="21" t="s">
        <v>13</v>
      </c>
      <c r="J727" s="2" t="s">
        <v>46</v>
      </c>
      <c r="K727" s="2" t="s">
        <v>39</v>
      </c>
      <c r="L727" s="2" t="s">
        <v>35</v>
      </c>
      <c r="M727" s="2"/>
      <c r="N727" s="2" t="s">
        <v>1219</v>
      </c>
      <c r="O727" s="2"/>
      <c r="P727" s="2"/>
      <c r="Q727" s="2"/>
      <c r="R727" s="1">
        <v>3</v>
      </c>
      <c r="S727" s="2" t="s">
        <v>1094</v>
      </c>
      <c r="T727" s="1" t="s">
        <v>706</v>
      </c>
      <c r="U727" s="1"/>
      <c r="V727" s="2"/>
      <c r="W727" s="2"/>
      <c r="X727" s="2"/>
      <c r="Y727" s="2"/>
      <c r="Z727" s="1">
        <f ca="1">IF(Table1[[#This Row],[Inactive_Date]]="",DATEDIF(Table1[[#This Row],[Date_Acq]],TODAY(),"m"),DATEDIF(Table1[[#This Row],[Date_Acq]],Table1[[#This Row],[Inactive_Date]],"m"))</f>
        <v>122</v>
      </c>
    </row>
    <row r="728" spans="1:26" s="17" customFormat="1" x14ac:dyDescent="0.4">
      <c r="A728" s="6"/>
      <c r="B728" s="7" t="s">
        <v>1614</v>
      </c>
      <c r="C728" s="4">
        <v>38889</v>
      </c>
      <c r="D728" s="2" t="s">
        <v>306</v>
      </c>
      <c r="E728" s="2" t="s">
        <v>1615</v>
      </c>
      <c r="F728" s="2" t="s">
        <v>1615</v>
      </c>
      <c r="G728" s="2">
        <v>2920</v>
      </c>
      <c r="H728" s="21"/>
      <c r="I728" s="21" t="s">
        <v>1616</v>
      </c>
      <c r="J728" s="2" t="s">
        <v>46</v>
      </c>
      <c r="K728" s="2" t="s">
        <v>39</v>
      </c>
      <c r="L728" s="2" t="s">
        <v>35</v>
      </c>
      <c r="M728" s="2"/>
      <c r="N728" s="2" t="s">
        <v>306</v>
      </c>
      <c r="O728" s="2"/>
      <c r="P728" s="2"/>
      <c r="Q728" s="2"/>
      <c r="R728" s="1">
        <v>3</v>
      </c>
      <c r="S728" s="2"/>
      <c r="T728" s="1" t="s">
        <v>706</v>
      </c>
      <c r="U728" s="1"/>
      <c r="V728" s="2"/>
      <c r="W728" s="2"/>
      <c r="X728" s="2"/>
      <c r="Y728" s="2"/>
      <c r="Z728" s="1">
        <f ca="1">IF(Table1[[#This Row],[Inactive_Date]]="",DATEDIF(Table1[[#This Row],[Date_Acq]],TODAY(),"m"),DATEDIF(Table1[[#This Row],[Date_Acq]],Table1[[#This Row],[Inactive_Date]],"m"))</f>
        <v>125</v>
      </c>
    </row>
    <row r="729" spans="1:26" s="17" customFormat="1" hidden="1" x14ac:dyDescent="0.4">
      <c r="A729" s="6"/>
      <c r="B729" s="7" t="s">
        <v>1617</v>
      </c>
      <c r="C729" s="4">
        <v>41352</v>
      </c>
      <c r="D729" s="2" t="s">
        <v>102</v>
      </c>
      <c r="E729" s="2" t="s">
        <v>1618</v>
      </c>
      <c r="F729" s="2" t="s">
        <v>1619</v>
      </c>
      <c r="G729" s="2">
        <v>926.69</v>
      </c>
      <c r="H729" s="21">
        <v>57520</v>
      </c>
      <c r="I729" s="21" t="s">
        <v>796</v>
      </c>
      <c r="J729" s="2" t="s">
        <v>46</v>
      </c>
      <c r="K729" s="2" t="s">
        <v>34</v>
      </c>
      <c r="L729" s="2" t="s">
        <v>35</v>
      </c>
      <c r="M729" s="2"/>
      <c r="N729" s="2" t="s">
        <v>102</v>
      </c>
      <c r="O729" s="2"/>
      <c r="P729" s="2" t="s">
        <v>1620</v>
      </c>
      <c r="Q729" s="2" t="s">
        <v>711</v>
      </c>
      <c r="R729" s="1">
        <v>3</v>
      </c>
      <c r="S729" s="2"/>
      <c r="T729" s="1" t="s">
        <v>706</v>
      </c>
      <c r="U729" s="1"/>
      <c r="V729" s="2"/>
      <c r="W729" s="2"/>
      <c r="X729" s="2"/>
      <c r="Y729" s="2"/>
      <c r="Z729" s="1">
        <f ca="1">IF(Table1[[#This Row],[Inactive_Date]]="",DATEDIF(Table1[[#This Row],[Date_Acq]],TODAY(),"m"),DATEDIF(Table1[[#This Row],[Date_Acq]],Table1[[#This Row],[Inactive_Date]],"m"))</f>
        <v>44</v>
      </c>
    </row>
    <row r="730" spans="1:26" s="17" customFormat="1" x14ac:dyDescent="0.4">
      <c r="A730" s="6"/>
      <c r="B730" s="7" t="s">
        <v>1621</v>
      </c>
      <c r="C730" s="2"/>
      <c r="D730" s="2" t="s">
        <v>1622</v>
      </c>
      <c r="E730" s="2" t="s">
        <v>1623</v>
      </c>
      <c r="F730" s="2" t="s">
        <v>1624</v>
      </c>
      <c r="G730" s="2">
        <v>3500</v>
      </c>
      <c r="H730" s="21">
        <v>0</v>
      </c>
      <c r="I730" s="21" t="s">
        <v>167</v>
      </c>
      <c r="J730" s="2" t="s">
        <v>46</v>
      </c>
      <c r="K730" s="2"/>
      <c r="L730" s="2" t="s">
        <v>35</v>
      </c>
      <c r="M730" s="2"/>
      <c r="N730" s="2" t="s">
        <v>1625</v>
      </c>
      <c r="O730" s="2" t="s">
        <v>1626</v>
      </c>
      <c r="P730" s="2" t="s">
        <v>1621</v>
      </c>
      <c r="Q730" s="2" t="s">
        <v>1314</v>
      </c>
      <c r="R730" s="1"/>
      <c r="S730" s="2"/>
      <c r="T730" s="1" t="s">
        <v>410</v>
      </c>
      <c r="U730" s="3">
        <v>47484</v>
      </c>
      <c r="V730" s="2"/>
      <c r="W730" s="2"/>
      <c r="X730" s="2"/>
      <c r="Y730" s="2"/>
      <c r="Z730" s="1">
        <f ca="1">IF(Table1[[#This Row],[Inactive_Date]]="",DATEDIF(Table1[[#This Row],[Date_Acq]],TODAY(),"m"),DATEDIF(Table1[[#This Row],[Date_Acq]],Table1[[#This Row],[Inactive_Date]],"m"))</f>
        <v>1402</v>
      </c>
    </row>
    <row r="731" spans="1:26" s="17" customFormat="1" hidden="1" x14ac:dyDescent="0.4">
      <c r="A731" s="6"/>
      <c r="B731" s="7" t="s">
        <v>1627</v>
      </c>
      <c r="C731" s="4">
        <v>41864</v>
      </c>
      <c r="D731" s="2" t="s">
        <v>549</v>
      </c>
      <c r="E731" s="2" t="s">
        <v>1628</v>
      </c>
      <c r="F731" s="2" t="s">
        <v>1629</v>
      </c>
      <c r="G731" s="2">
        <v>350</v>
      </c>
      <c r="H731" s="21"/>
      <c r="I731" s="21" t="s">
        <v>13</v>
      </c>
      <c r="J731" s="2" t="s">
        <v>46</v>
      </c>
      <c r="K731" s="2" t="s">
        <v>34</v>
      </c>
      <c r="L731" s="2" t="s">
        <v>51</v>
      </c>
      <c r="M731" s="2"/>
      <c r="N731" s="2" t="s">
        <v>849</v>
      </c>
      <c r="O731" s="2" t="s">
        <v>1630</v>
      </c>
      <c r="P731" s="2" t="s">
        <v>1627</v>
      </c>
      <c r="Q731" s="2" t="s">
        <v>1631</v>
      </c>
      <c r="R731" s="1">
        <v>1</v>
      </c>
      <c r="S731" s="2"/>
      <c r="T731" s="1"/>
      <c r="U731" s="1"/>
      <c r="V731" s="2"/>
      <c r="W731" s="2"/>
      <c r="X731" s="2"/>
      <c r="Y731" s="2"/>
      <c r="Z731" s="1">
        <f ca="1">IF(Table1[[#This Row],[Inactive_Date]]="",DATEDIF(Table1[[#This Row],[Date_Acq]],TODAY(),"m"),DATEDIF(Table1[[#This Row],[Date_Acq]],Table1[[#This Row],[Inactive_Date]],"m"))</f>
        <v>27</v>
      </c>
    </row>
    <row r="732" spans="1:26" s="17" customFormat="1" ht="43.75" x14ac:dyDescent="0.4">
      <c r="A732" s="6"/>
      <c r="B732" s="7" t="s">
        <v>1632</v>
      </c>
      <c r="C732" s="2"/>
      <c r="D732" s="2"/>
      <c r="E732" s="2" t="s">
        <v>811</v>
      </c>
      <c r="F732" s="2"/>
      <c r="G732" s="2">
        <v>1300</v>
      </c>
      <c r="H732" s="21"/>
      <c r="I732" s="21" t="s">
        <v>108</v>
      </c>
      <c r="J732" s="2" t="s">
        <v>46</v>
      </c>
      <c r="K732" s="2" t="s">
        <v>39</v>
      </c>
      <c r="L732" s="2" t="s">
        <v>35</v>
      </c>
      <c r="M732" s="2"/>
      <c r="N732" s="2" t="s">
        <v>306</v>
      </c>
      <c r="O732" s="2" t="s">
        <v>406</v>
      </c>
      <c r="P732" s="2" t="s">
        <v>1632</v>
      </c>
      <c r="Q732" s="2" t="s">
        <v>110</v>
      </c>
      <c r="R732" s="1">
        <v>3</v>
      </c>
      <c r="S732" s="5" t="s">
        <v>1633</v>
      </c>
      <c r="T732" s="1" t="s">
        <v>410</v>
      </c>
      <c r="U732" s="1"/>
      <c r="V732" s="2"/>
      <c r="W732" s="2"/>
      <c r="X732" s="2"/>
      <c r="Y732" s="2"/>
      <c r="Z732" s="1">
        <f ca="1">IF(Table1[[#This Row],[Inactive_Date]]="",DATEDIF(Table1[[#This Row],[Date_Acq]],TODAY(),"m"),DATEDIF(Table1[[#This Row],[Date_Acq]],Table1[[#This Row],[Inactive_Date]],"m"))</f>
        <v>1402</v>
      </c>
    </row>
    <row r="733" spans="1:26" s="17" customFormat="1" x14ac:dyDescent="0.4">
      <c r="A733" s="6"/>
      <c r="B733" s="7" t="s">
        <v>1634</v>
      </c>
      <c r="C733" s="2"/>
      <c r="D733" s="2"/>
      <c r="E733" s="2" t="s">
        <v>811</v>
      </c>
      <c r="F733" s="2"/>
      <c r="G733" s="2">
        <v>1600</v>
      </c>
      <c r="H733" s="21"/>
      <c r="I733" s="21" t="s">
        <v>309</v>
      </c>
      <c r="J733" s="2" t="s">
        <v>46</v>
      </c>
      <c r="K733" s="2" t="s">
        <v>39</v>
      </c>
      <c r="L733" s="2"/>
      <c r="M733" s="2"/>
      <c r="N733" s="2" t="s">
        <v>306</v>
      </c>
      <c r="O733" s="2" t="s">
        <v>703</v>
      </c>
      <c r="P733" s="2" t="s">
        <v>1634</v>
      </c>
      <c r="Q733" s="2"/>
      <c r="R733" s="1">
        <v>1</v>
      </c>
      <c r="S733" s="2"/>
      <c r="T733" s="1"/>
      <c r="U733" s="1"/>
      <c r="V733" s="2"/>
      <c r="W733" s="2"/>
      <c r="X733" s="2"/>
      <c r="Y733" s="2"/>
      <c r="Z733" s="1">
        <f ca="1">IF(Table1[[#This Row],[Inactive_Date]]="",DATEDIF(Table1[[#This Row],[Date_Acq]],TODAY(),"m"),DATEDIF(Table1[[#This Row],[Date_Acq]],Table1[[#This Row],[Inactive_Date]],"m"))</f>
        <v>1402</v>
      </c>
    </row>
    <row r="734" spans="1:26" s="17" customFormat="1" hidden="1" x14ac:dyDescent="0.4">
      <c r="A734" s="6"/>
      <c r="B734" s="7" t="s">
        <v>1635</v>
      </c>
      <c r="C734" s="2"/>
      <c r="D734" s="2"/>
      <c r="E734" s="2" t="s">
        <v>1636</v>
      </c>
      <c r="F734" s="2" t="s">
        <v>1637</v>
      </c>
      <c r="G734" s="2"/>
      <c r="H734" s="21"/>
      <c r="I734" s="21" t="s">
        <v>13</v>
      </c>
      <c r="J734" s="2" t="s">
        <v>46</v>
      </c>
      <c r="K734" s="2" t="s">
        <v>34</v>
      </c>
      <c r="L734" s="2" t="s">
        <v>35</v>
      </c>
      <c r="M734" s="2"/>
      <c r="N734" s="2" t="s">
        <v>1638</v>
      </c>
      <c r="O734" s="2" t="s">
        <v>1639</v>
      </c>
      <c r="P734" s="2" t="s">
        <v>1640</v>
      </c>
      <c r="Q734" s="2" t="s">
        <v>49</v>
      </c>
      <c r="R734" s="1"/>
      <c r="S734" s="2"/>
      <c r="T734" s="1"/>
      <c r="U734" s="1"/>
      <c r="V734" s="2"/>
      <c r="W734" s="2"/>
      <c r="X734" s="2"/>
      <c r="Y734" s="2"/>
      <c r="Z734" s="1">
        <f ca="1">IF(Table1[[#This Row],[Inactive_Date]]="",DATEDIF(Table1[[#This Row],[Date_Acq]],TODAY(),"m"),DATEDIF(Table1[[#This Row],[Date_Acq]],Table1[[#This Row],[Inactive_Date]],"m"))</f>
        <v>1402</v>
      </c>
    </row>
    <row r="735" spans="1:26" s="17" customFormat="1" x14ac:dyDescent="0.4">
      <c r="A735" s="6"/>
      <c r="B735" s="7" t="s">
        <v>1641</v>
      </c>
      <c r="C735" s="2"/>
      <c r="D735" s="2"/>
      <c r="E735" s="2" t="s">
        <v>1642</v>
      </c>
      <c r="F735" s="2"/>
      <c r="G735" s="2"/>
      <c r="H735" s="21"/>
      <c r="I735" s="21" t="s">
        <v>13</v>
      </c>
      <c r="J735" s="2" t="s">
        <v>46</v>
      </c>
      <c r="K735" s="2" t="s">
        <v>39</v>
      </c>
      <c r="L735" s="2" t="s">
        <v>35</v>
      </c>
      <c r="M735" s="2"/>
      <c r="N735" s="2" t="s">
        <v>1643</v>
      </c>
      <c r="O735" s="2" t="s">
        <v>1644</v>
      </c>
      <c r="P735" s="2" t="s">
        <v>1645</v>
      </c>
      <c r="Q735" s="2" t="s">
        <v>711</v>
      </c>
      <c r="R735" s="1"/>
      <c r="S735" s="2"/>
      <c r="T735" s="1"/>
      <c r="U735" s="1"/>
      <c r="V735" s="2"/>
      <c r="W735" s="2"/>
      <c r="X735" s="2"/>
      <c r="Y735" s="2"/>
      <c r="Z735" s="1">
        <f ca="1">IF(Table1[[#This Row],[Inactive_Date]]="",DATEDIF(Table1[[#This Row],[Date_Acq]],TODAY(),"m"),DATEDIF(Table1[[#This Row],[Date_Acq]],Table1[[#This Row],[Inactive_Date]],"m"))</f>
        <v>1402</v>
      </c>
    </row>
  </sheetData>
  <pageMargins left="0.25" right="0.25" top="0.25" bottom="0.25" header="0.3" footer="0.3"/>
  <pageSetup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G14" sqref="G14"/>
    </sheetView>
  </sheetViews>
  <sheetFormatPr defaultRowHeight="14.6" x14ac:dyDescent="0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"/>
  <sheetViews>
    <sheetView workbookViewId="0"/>
  </sheetViews>
  <sheetFormatPr defaultRowHeight="14.6" x14ac:dyDescent="0.4"/>
  <cols>
    <col min="1" max="1" width="23.921875" style="14" customWidth="1"/>
    <col min="2" max="16384" width="9.23046875" style="14"/>
  </cols>
  <sheetData>
    <row r="1" spans="1:2" x14ac:dyDescent="0.4">
      <c r="A1" s="14" t="s">
        <v>30</v>
      </c>
      <c r="B1" s="14">
        <v>1000</v>
      </c>
    </row>
    <row r="2" spans="1:2" x14ac:dyDescent="0.4">
      <c r="A2" s="1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7"/>
  <sheetViews>
    <sheetView workbookViewId="0">
      <selection activeCell="D13" sqref="D13"/>
    </sheetView>
  </sheetViews>
  <sheetFormatPr defaultRowHeight="14.6" x14ac:dyDescent="0.4"/>
  <cols>
    <col min="1" max="1" width="8.3046875" style="6" customWidth="1"/>
    <col min="2" max="2" width="3.61328125" customWidth="1"/>
    <col min="3" max="3" width="3.69140625" customWidth="1"/>
    <col min="4" max="4" width="12.3046875" customWidth="1"/>
  </cols>
  <sheetData>
    <row r="1" spans="1:4" x14ac:dyDescent="0.4">
      <c r="A1" s="8"/>
    </row>
    <row r="3" spans="1:4" x14ac:dyDescent="0.4">
      <c r="C3" t="s">
        <v>16</v>
      </c>
    </row>
    <row r="4" spans="1:4" x14ac:dyDescent="0.4">
      <c r="D4" t="s">
        <v>18</v>
      </c>
    </row>
    <row r="5" spans="1:4" x14ac:dyDescent="0.4">
      <c r="D5" t="s">
        <v>17</v>
      </c>
    </row>
    <row r="6" spans="1:4" x14ac:dyDescent="0.4">
      <c r="D6" t="s">
        <v>13</v>
      </c>
    </row>
    <row r="7" spans="1:4" x14ac:dyDescent="0.4">
      <c r="D7" t="s">
        <v>19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"/>
  <sheetViews>
    <sheetView topLeftCell="A6" workbookViewId="0">
      <selection activeCell="K35" sqref="K35"/>
    </sheetView>
  </sheetViews>
  <sheetFormatPr defaultRowHeight="14.6" x14ac:dyDescent="0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"/>
  <sheetViews>
    <sheetView workbookViewId="0">
      <selection activeCell="G35" sqref="G35"/>
    </sheetView>
  </sheetViews>
  <sheetFormatPr defaultRowHeight="14.6" x14ac:dyDescent="0.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D1"/>
  <sheetViews>
    <sheetView workbookViewId="0">
      <selection activeCell="D2" sqref="D2"/>
    </sheetView>
  </sheetViews>
  <sheetFormatPr defaultRowHeight="14.6" x14ac:dyDescent="0.4"/>
  <cols>
    <col min="1" max="1" width="15.4609375" customWidth="1"/>
    <col min="2" max="2" width="15" customWidth="1"/>
    <col min="3" max="3" width="13" customWidth="1"/>
  </cols>
  <sheetData>
    <row r="1" spans="1:4" x14ac:dyDescent="0.4">
      <c r="A1" t="s">
        <v>20</v>
      </c>
      <c r="B1" t="s">
        <v>22</v>
      </c>
      <c r="C1" t="s">
        <v>21</v>
      </c>
      <c r="D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Assets</vt:lpstr>
      <vt:lpstr>Depreciation</vt:lpstr>
      <vt:lpstr>Profile</vt:lpstr>
      <vt:lpstr>Settings</vt:lpstr>
      <vt:lpstr>Reports</vt:lpstr>
      <vt:lpstr>Vendor_Info</vt:lpstr>
      <vt:lpstr>Maintenance</vt:lpstr>
      <vt:lpstr>Repair</vt:lpstr>
      <vt:lpstr>Owner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DeBok</dc:creator>
  <cp:lastModifiedBy>Ryan DeBok</cp:lastModifiedBy>
  <cp:lastPrinted>2016-11-21T21:02:07Z</cp:lastPrinted>
  <dcterms:created xsi:type="dcterms:W3CDTF">2016-08-12T18:30:13Z</dcterms:created>
  <dcterms:modified xsi:type="dcterms:W3CDTF">2016-11-22T18:39:55Z</dcterms:modified>
</cp:coreProperties>
</file>